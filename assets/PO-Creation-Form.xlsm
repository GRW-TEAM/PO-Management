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rushoth\Downloads\"/>
    </mc:Choice>
  </mc:AlternateContent>
  <xr:revisionPtr revIDLastSave="0" documentId="13_ncr:1_{C51C6B26-95D7-4817-95A3-AFE4873C4087}" xr6:coauthVersionLast="47" xr6:coauthVersionMax="47" xr10:uidLastSave="{00000000-0000-0000-0000-000000000000}"/>
  <bookViews>
    <workbookView xWindow="-120" yWindow="-120" windowWidth="29040" windowHeight="17640" tabRatio="679" xr2:uid="{87FF9CB4-3D75-4117-BD09-556C0CC3CC13}"/>
  </bookViews>
  <sheets>
    <sheet name="PO CREATION FORM" sheetId="12" r:id="rId1"/>
    <sheet name="GRW GL ACCOUNT LIST" sheetId="6" r:id="rId2"/>
    <sheet name="PLANT CODES" sheetId="15" r:id="rId3"/>
    <sheet name="GRW COSTCENTERS" sheetId="13" r:id="rId4"/>
  </sheets>
  <definedNames>
    <definedName name="_xlnm._FilterDatabase" localSheetId="3" hidden="1">'GRW COSTCENTERS'!$A$1:$L$169</definedName>
    <definedName name="_xlnm._FilterDatabase" localSheetId="1" hidden="1">'GRW GL ACCOUNT LIST'!$A$1:$F$35</definedName>
    <definedName name="_xlnm._FilterDatabase" localSheetId="2" hidden="1">'PLANT CODES'!$A$4:$H$481</definedName>
    <definedName name="_xleta.IF" hidden="1" xlm="1">#NAME?</definedName>
    <definedName name="CurrentGLs">_xlfn.ANCHORARRAY(INDEX('PO CREATION FORM'!$Z:$Z,ROW()))</definedName>
    <definedName name="_xlnm.Print_Titles" localSheetId="3">'GRW COSTCENTERS'!$1:$1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12" l="1"/>
  <c r="B23" i="12"/>
  <c r="D23" i="12" s="1"/>
  <c r="B22" i="12"/>
  <c r="D22" i="12" s="1"/>
  <c r="I22" i="12"/>
  <c r="I21" i="12"/>
  <c r="B21" i="12"/>
  <c r="D21" i="12" s="1"/>
  <c r="I20" i="12"/>
  <c r="B20" i="12"/>
  <c r="D20" i="12" s="1"/>
  <c r="B19" i="12"/>
  <c r="D19" i="12" s="1"/>
  <c r="I19" i="12"/>
  <c r="Z15" i="12" l="1" a="1"/>
  <c r="Z15" i="12" s="1"/>
  <c r="Z16" i="12" a="1"/>
  <c r="Z16" i="12" s="1"/>
  <c r="Z17" i="12" a="1"/>
  <c r="Z17" i="12" s="1"/>
  <c r="Z18" i="12" a="1"/>
  <c r="Z18" i="12" s="1"/>
  <c r="Z19" i="12" a="1"/>
  <c r="Z19" i="12" s="1"/>
  <c r="Z20" i="12" a="1"/>
  <c r="Z20" i="12" s="1"/>
  <c r="Z21" i="12" a="1"/>
  <c r="Z21" i="12" s="1"/>
  <c r="Z22" i="12" a="1"/>
  <c r="Z22" i="12" s="1"/>
  <c r="Z23" i="12" a="1"/>
  <c r="Z23" i="12" s="1"/>
  <c r="Z24" i="12" a="1"/>
  <c r="Z24" i="12" s="1"/>
  <c r="Z25" i="12" a="1"/>
  <c r="Z25" i="12" s="1"/>
  <c r="Z26" i="12" a="1"/>
  <c r="Z26" i="12" s="1"/>
  <c r="Z27" i="12" a="1"/>
  <c r="Z27" i="12" s="1"/>
  <c r="Z28" i="12" a="1"/>
  <c r="Z28" i="12" s="1"/>
  <c r="Z29" i="12" a="1"/>
  <c r="Z29" i="12" s="1"/>
  <c r="Z30" i="12" a="1"/>
  <c r="Z30" i="12" s="1"/>
  <c r="Z31" i="12" a="1"/>
  <c r="Z31" i="12" s="1"/>
  <c r="Z32" i="12" a="1"/>
  <c r="Z32" i="12" s="1"/>
  <c r="Z33" i="12" a="1"/>
  <c r="Z33" i="12" s="1"/>
  <c r="Z34" i="12" a="1"/>
  <c r="Z34" i="12" s="1"/>
  <c r="Z35" i="12" a="1"/>
  <c r="Z35" i="12" s="1"/>
  <c r="Z36" i="12" a="1"/>
  <c r="Z36" i="12" s="1"/>
  <c r="Z37" i="12" a="1"/>
  <c r="Z37" i="12" s="1"/>
  <c r="Z38" i="12" a="1"/>
  <c r="Z38" i="12" s="1"/>
  <c r="Z39" i="12" a="1"/>
  <c r="Z39" i="12" s="1"/>
  <c r="Z40" i="12" a="1"/>
  <c r="Z40" i="12" s="1"/>
  <c r="Z41" i="12" a="1"/>
  <c r="Z41" i="12" s="1"/>
  <c r="Z42" i="12" a="1"/>
  <c r="Z42" i="12" s="1"/>
  <c r="Z43" i="12" a="1"/>
  <c r="Z43" i="12" s="1"/>
  <c r="Z44" i="12" a="1"/>
  <c r="Z44" i="12" s="1"/>
  <c r="Z45" i="12" a="1"/>
  <c r="Z45" i="12" s="1"/>
  <c r="Z46" i="12" a="1"/>
  <c r="Z46" i="12" s="1"/>
  <c r="Z47" i="12" a="1"/>
  <c r="Z47" i="12" s="1"/>
  <c r="Z48" i="12" a="1"/>
  <c r="Z48" i="12" s="1"/>
  <c r="Z49" i="12" a="1"/>
  <c r="Z49" i="12" s="1"/>
  <c r="Z50" i="12" a="1"/>
  <c r="Z50" i="12" s="1"/>
  <c r="Z51" i="12" a="1"/>
  <c r="Z51" i="12" s="1"/>
  <c r="Z52" i="12" a="1"/>
  <c r="Z52" i="12" s="1"/>
  <c r="Z53" i="12" a="1"/>
  <c r="Z53" i="12" s="1"/>
  <c r="Z54" i="12" a="1"/>
  <c r="Z54" i="12" s="1"/>
  <c r="Z55" i="12" a="1"/>
  <c r="Z55" i="12" s="1"/>
  <c r="Z56" i="12" a="1"/>
  <c r="Z56" i="12" s="1"/>
  <c r="Z57" i="12" a="1"/>
  <c r="Z57" i="12" s="1"/>
  <c r="Z58" i="12" a="1"/>
  <c r="Z58" i="12" s="1"/>
  <c r="Z59" i="12" a="1"/>
  <c r="Z59" i="12" s="1"/>
  <c r="Z60" i="12" a="1"/>
  <c r="Z60" i="12" s="1"/>
  <c r="Z61" i="12" a="1"/>
  <c r="Z61" i="12" s="1"/>
  <c r="Z62" i="12" a="1"/>
  <c r="Z62" i="12" s="1"/>
  <c r="Z63" i="12" a="1"/>
  <c r="Z63" i="12" s="1"/>
  <c r="Z64" i="12" a="1"/>
  <c r="Z64" i="12" s="1"/>
  <c r="Z65" i="12" a="1"/>
  <c r="Z65" i="12" s="1"/>
  <c r="Z66" i="12" a="1"/>
  <c r="Z66" i="12" s="1"/>
  <c r="Z67" i="12" a="1"/>
  <c r="Z67" i="12" s="1"/>
  <c r="Z68" i="12" a="1"/>
  <c r="Z68" i="12" s="1"/>
  <c r="Z69" i="12" a="1"/>
  <c r="Z69" i="12" s="1"/>
  <c r="Z70" i="12" a="1"/>
  <c r="Z70" i="12" s="1"/>
  <c r="Z71" i="12" a="1"/>
  <c r="Z71" i="12" s="1"/>
  <c r="Z72" i="12" a="1"/>
  <c r="Z72" i="12" s="1"/>
  <c r="Z73" i="12" a="1"/>
  <c r="Z73" i="12" s="1"/>
  <c r="Z74" i="12" a="1"/>
  <c r="Z74" i="12" s="1"/>
  <c r="Z75" i="12" a="1"/>
  <c r="Z75" i="12" s="1"/>
  <c r="Z76" i="12" a="1"/>
  <c r="Z76" i="12" s="1"/>
  <c r="Z77" i="12" a="1"/>
  <c r="Z77" i="12" s="1"/>
  <c r="Z78" i="12" a="1"/>
  <c r="Z78" i="12" s="1"/>
  <c r="Z79" i="12" a="1"/>
  <c r="Z79" i="12" s="1"/>
  <c r="Z80" i="12" a="1"/>
  <c r="Z80" i="12" s="1"/>
  <c r="Z81" i="12" a="1"/>
  <c r="Z81" i="12" s="1"/>
  <c r="Z82" i="12" a="1"/>
  <c r="Z82" i="12" s="1"/>
  <c r="Z83" i="12" a="1"/>
  <c r="Z83" i="12" s="1"/>
  <c r="Z84" i="12" a="1"/>
  <c r="Z84" i="12" s="1"/>
  <c r="Z85" i="12" a="1"/>
  <c r="Z85" i="12" s="1"/>
  <c r="Z86" i="12" a="1"/>
  <c r="Z86" i="12" s="1"/>
  <c r="Z87" i="12" a="1"/>
  <c r="Z87" i="12" s="1"/>
  <c r="Z88" i="12" a="1"/>
  <c r="Z88" i="12" s="1"/>
  <c r="Z89" i="12" a="1"/>
  <c r="Z89" i="12" s="1"/>
  <c r="Z90" i="12" a="1"/>
  <c r="Z90" i="12" s="1"/>
  <c r="Z91" i="12" a="1"/>
  <c r="Z91" i="12" s="1"/>
  <c r="Z92" i="12" a="1"/>
  <c r="Z92" i="12" s="1"/>
  <c r="Z93" i="12" a="1"/>
  <c r="Z93" i="12" s="1"/>
  <c r="Z94" i="12" a="1"/>
  <c r="Z94" i="12" s="1"/>
  <c r="Z95" i="12" a="1"/>
  <c r="Z95" i="12" s="1"/>
  <c r="Z96" i="12" a="1"/>
  <c r="Z96" i="12" s="1"/>
  <c r="Z97" i="12" a="1"/>
  <c r="Z97" i="12" s="1"/>
  <c r="Z98" i="12" a="1"/>
  <c r="Z98" i="12" s="1"/>
  <c r="Z99" i="12" a="1"/>
  <c r="Z99" i="12" s="1"/>
  <c r="Z100" i="12" a="1"/>
  <c r="Z100" i="12" s="1"/>
  <c r="Z101" i="12" a="1"/>
  <c r="Z101" i="12" s="1"/>
  <c r="Z102" i="12" a="1"/>
  <c r="Z102" i="12" s="1"/>
  <c r="Z103" i="12" a="1"/>
  <c r="Z103" i="12" s="1"/>
  <c r="Z104" i="12" a="1"/>
  <c r="Z104" i="12" s="1"/>
  <c r="Z105" i="12" a="1"/>
  <c r="Z105" i="12" s="1"/>
  <c r="Z106" i="12" a="1"/>
  <c r="Z106" i="12" s="1"/>
  <c r="Z107" i="12" a="1"/>
  <c r="Z107" i="12" s="1"/>
  <c r="Z108" i="12" a="1"/>
  <c r="Z108" i="12" s="1"/>
  <c r="Z109" i="12" a="1"/>
  <c r="Z109" i="12" s="1"/>
  <c r="Z110" i="12" a="1"/>
  <c r="Z110" i="12" s="1"/>
  <c r="Z111" i="12" a="1"/>
  <c r="Z111" i="12" s="1"/>
  <c r="Z112" i="12" a="1"/>
  <c r="Z112" i="12" s="1"/>
  <c r="Z113" i="12" a="1"/>
  <c r="Z113" i="12" s="1"/>
  <c r="I18" i="12"/>
  <c r="B18" i="12"/>
  <c r="D18" i="12" s="1"/>
  <c r="I17" i="12"/>
  <c r="B17" i="12"/>
  <c r="D17" i="12" s="1"/>
  <c r="I16" i="12"/>
  <c r="B16" i="12"/>
  <c r="D16" i="12" s="1"/>
  <c r="B15" i="12"/>
  <c r="D15" i="12" s="1"/>
  <c r="I15" i="12"/>
  <c r="I2" i="12" l="1"/>
  <c r="B14" i="12" l="1"/>
  <c r="Z14" i="12" a="1"/>
  <c r="Z14" i="12" s="1"/>
  <c r="I14" i="12"/>
  <c r="I24" i="12" l="1"/>
  <c r="S2" i="13" a="1"/>
  <c r="S2" i="13" s="1"/>
  <c r="P2" i="13" a="1"/>
  <c r="P2" i="13" s="1"/>
  <c r="D14" i="12" l="1"/>
  <c r="N2" i="13" a="1"/>
  <c r="N2" i="13" s="1"/>
  <c r="N13" i="13" a="1"/>
  <c r="N13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Purushoth M [C]</author>
  </authors>
  <commentList>
    <comment ref="D8" authorId="0" shapeId="0" xr:uid="{17C0AF1B-DC62-4DBE-AEB6-9FAAA85ADC83}">
      <text>
        <r>
          <rPr>
            <b/>
            <sz val="10"/>
            <color indexed="81"/>
            <rFont val="Aptos"/>
            <family val="2"/>
          </rPr>
          <t xml:space="preserve">WBS values always end with “90XXX” or “00XXX”
</t>
        </r>
        <r>
          <rPr>
            <sz val="10"/>
            <color indexed="81"/>
            <rFont val="Aptos"/>
            <family val="2"/>
          </rPr>
          <t>(e.g., E-00000123-90000 or E-00000123-00200)</t>
        </r>
      </text>
    </comment>
    <comment ref="B13" authorId="0" shapeId="0" xr:uid="{8E4BC6D0-FAC4-4025-8F47-87110D988F9A}">
      <text>
        <r>
          <rPr>
            <sz val="9"/>
            <color indexed="81"/>
            <rFont val="Aptos"/>
            <family val="2"/>
          </rPr>
          <t>Do not delete any entries. GL code will auto-populate based on the type</t>
        </r>
      </text>
    </comment>
    <comment ref="C13" authorId="0" shapeId="0" xr:uid="{6DC5C163-D65A-43B1-9988-82D551D60533}">
      <text>
        <r>
          <rPr>
            <sz val="9"/>
            <color indexed="81"/>
            <rFont val="Aptos"/>
            <family val="2"/>
          </rPr>
          <t>Use the drop-down option to select the correct GL code</t>
        </r>
      </text>
    </comment>
    <comment ref="F13" authorId="0" shapeId="0" xr:uid="{3E94CCC3-5659-42CA-9755-A5959C3E3F12}">
      <text>
        <r>
          <rPr>
            <b/>
            <sz val="9"/>
            <color indexed="81"/>
            <rFont val="Calibri"/>
            <family val="2"/>
            <scheme val="minor"/>
          </rPr>
          <t>If you need different cost centers for each line item use this option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<sst xmlns="http://schemas.openxmlformats.org/spreadsheetml/2006/main" count="3651" uniqueCount="1554">
  <si>
    <t>VENDOR INFORMATION</t>
  </si>
  <si>
    <t>TCCC REQUESTOR DETAILS</t>
  </si>
  <si>
    <t>TYPE</t>
  </si>
  <si>
    <t>DESCRIPTION</t>
  </si>
  <si>
    <t>QUANTITY</t>
  </si>
  <si>
    <t>UNIT PRICE</t>
  </si>
  <si>
    <t>Goods</t>
  </si>
  <si>
    <t>Service</t>
  </si>
  <si>
    <t>Rent-Facilities</t>
  </si>
  <si>
    <t>Product for Employee Consumption</t>
  </si>
  <si>
    <t>Uniforms and Towels</t>
  </si>
  <si>
    <t>Ongoing Prof Services-Fees Set by KO</t>
  </si>
  <si>
    <t>Repair &amp; Maint-Buildings/Plants</t>
  </si>
  <si>
    <t>Refuse Removal</t>
  </si>
  <si>
    <t>Utilities-Electric</t>
  </si>
  <si>
    <t>Custodial Services</t>
  </si>
  <si>
    <t>Facilities Management Services</t>
  </si>
  <si>
    <t>Cafeteria Expense</t>
  </si>
  <si>
    <t>Security Services</t>
  </si>
  <si>
    <t>Insurance-Automobile</t>
  </si>
  <si>
    <t>KO Memberships, Books &amp; Subscriptions</t>
  </si>
  <si>
    <t>Internal Meetings &amp; Events-General</t>
  </si>
  <si>
    <t>Postage</t>
  </si>
  <si>
    <t>Supplies Used-General-Office</t>
  </si>
  <si>
    <t>Outside Storage</t>
  </si>
  <si>
    <t>Telecommunications-WAN-Wide Area Network</t>
  </si>
  <si>
    <t>Telecommunications-Mobile Services</t>
  </si>
  <si>
    <t>Information Sys Exp- Comput Hardware</t>
  </si>
  <si>
    <t>Freight &amp; Demurrage</t>
  </si>
  <si>
    <t>Repair &amp; Maint-Vehicle (Non-Ded)-Logistics</t>
  </si>
  <si>
    <t>Gas, Diesel, Oil</t>
  </si>
  <si>
    <t>Region</t>
  </si>
  <si>
    <t>OU</t>
  </si>
  <si>
    <t>Northyards - Freestyle</t>
  </si>
  <si>
    <t>PETC</t>
  </si>
  <si>
    <t>Northyards - KO Lab</t>
  </si>
  <si>
    <t>Washington</t>
  </si>
  <si>
    <t>Rogers Facility</t>
  </si>
  <si>
    <t>EOU</t>
  </si>
  <si>
    <t>Austria</t>
  </si>
  <si>
    <t>Belgium</t>
  </si>
  <si>
    <t>Greece</t>
  </si>
  <si>
    <t>Poland</t>
  </si>
  <si>
    <t>UK</t>
  </si>
  <si>
    <t>Denmark</t>
  </si>
  <si>
    <t>Spain</t>
  </si>
  <si>
    <t>Italy</t>
  </si>
  <si>
    <t>EME</t>
  </si>
  <si>
    <t>AOU</t>
  </si>
  <si>
    <t>Morocco</t>
  </si>
  <si>
    <t>Pakistan</t>
  </si>
  <si>
    <t>Kenya</t>
  </si>
  <si>
    <t>Nigeria</t>
  </si>
  <si>
    <t>South Africa</t>
  </si>
  <si>
    <t>Egypt</t>
  </si>
  <si>
    <t>Turkey</t>
  </si>
  <si>
    <t>Bulgaria</t>
  </si>
  <si>
    <t>Algeria</t>
  </si>
  <si>
    <t>France</t>
  </si>
  <si>
    <t>Ireland</t>
  </si>
  <si>
    <t>Central</t>
  </si>
  <si>
    <t>South</t>
  </si>
  <si>
    <t>North</t>
  </si>
  <si>
    <t>ASP</t>
  </si>
  <si>
    <t>Myanmar</t>
  </si>
  <si>
    <t>Singapore</t>
  </si>
  <si>
    <t>Malaysia</t>
  </si>
  <si>
    <t>Thailand</t>
  </si>
  <si>
    <t>China</t>
  </si>
  <si>
    <t>1626US1967</t>
  </si>
  <si>
    <t>INSWA</t>
  </si>
  <si>
    <t>India</t>
  </si>
  <si>
    <t>Japan</t>
  </si>
  <si>
    <t>Australia</t>
  </si>
  <si>
    <t>Vietnam</t>
  </si>
  <si>
    <t>Hong Kong</t>
  </si>
  <si>
    <t>Taiwan</t>
  </si>
  <si>
    <t>Bangladesh</t>
  </si>
  <si>
    <t>New Zealand</t>
  </si>
  <si>
    <t>Indonesia</t>
  </si>
  <si>
    <t>Sri Lanka</t>
  </si>
  <si>
    <t>GL Number</t>
  </si>
  <si>
    <t>GL Account Name</t>
  </si>
  <si>
    <t>To be Used For:</t>
  </si>
  <si>
    <t>Professional services that do not fit in a specific category below (consulting, legal services, etc.)</t>
  </si>
  <si>
    <t>All products to be consumed by employees within an office (Coca-Cola products, coffee / tea, milk)</t>
  </si>
  <si>
    <t>Building rent</t>
  </si>
  <si>
    <t xml:space="preserve">Cleaning/ janitorial services </t>
  </si>
  <si>
    <t>Storage costs for files / archives / etc.</t>
  </si>
  <si>
    <t>All CBRE facilities management POs (only)</t>
  </si>
  <si>
    <t>Security services (at offices / VIP/ etc)</t>
  </si>
  <si>
    <t>All miscellaneous repairs and maintenance at an office</t>
  </si>
  <si>
    <t>Postage,  stamps</t>
  </si>
  <si>
    <t>Paper, printer cartridges, pens, notebooks, tissues, etc.</t>
  </si>
  <si>
    <t>Equipment Rental-General (Non-Production</t>
  </si>
  <si>
    <t>All cafeteria services, including vending/ coffee services</t>
  </si>
  <si>
    <t>Building Services</t>
  </si>
  <si>
    <t>Any building specific service that does not fall into one of the other specific GLs (gym / medical)</t>
  </si>
  <si>
    <t>Electric utilities only</t>
  </si>
  <si>
    <t>Gas utilized for cars only</t>
  </si>
  <si>
    <t>Freight spend (not postage / stamps)</t>
  </si>
  <si>
    <t>Business memberships/ professional memberships</t>
  </si>
  <si>
    <t>Office trash removal (including hazardous waste)</t>
  </si>
  <si>
    <t>Costs related to in office events</t>
  </si>
  <si>
    <t>Computer costs (hardware only)</t>
  </si>
  <si>
    <t>Utilities - Water</t>
  </si>
  <si>
    <t>Water utilities only</t>
  </si>
  <si>
    <t>Utilities - Natural Gas</t>
  </si>
  <si>
    <t>Gas utilities only</t>
  </si>
  <si>
    <t>Taxes-General- Property Tax</t>
  </si>
  <si>
    <t>Property taxes related to a TCCC office</t>
  </si>
  <si>
    <t>Wifi / internet charges for offices</t>
  </si>
  <si>
    <t>Insurance for employee company cars</t>
  </si>
  <si>
    <t>Taxes-General-Cars</t>
  </si>
  <si>
    <t>Taxes for employee company cars</t>
  </si>
  <si>
    <t>Cost for TCCC employee cell phones</t>
  </si>
  <si>
    <t>Company Code</t>
  </si>
  <si>
    <t>APAC</t>
  </si>
  <si>
    <t>EMEA</t>
  </si>
  <si>
    <t>Lagos</t>
  </si>
  <si>
    <t>LATAM</t>
  </si>
  <si>
    <t>NAOU</t>
  </si>
  <si>
    <t>AOC Facilities</t>
  </si>
  <si>
    <t>AOC</t>
  </si>
  <si>
    <t>AOC Cultural (Happy Hours)</t>
  </si>
  <si>
    <t>AOC FacOps LCAM/ Repair&amp;Maint</t>
  </si>
  <si>
    <t>AOC Record Management</t>
  </si>
  <si>
    <t>AOC Distribution Services</t>
  </si>
  <si>
    <t>AOC Food Service</t>
  </si>
  <si>
    <t>AOC Refreshment Center</t>
  </si>
  <si>
    <t>AOC Catering</t>
  </si>
  <si>
    <t>AOC Product (United) - Bottler</t>
  </si>
  <si>
    <t>AOC Care Center</t>
  </si>
  <si>
    <t>AOC FitCtrUplift</t>
  </si>
  <si>
    <t>AOC Pharmacy</t>
  </si>
  <si>
    <t>AOC Ambassadors</t>
  </si>
  <si>
    <t>AOC Move, Add, Change</t>
  </si>
  <si>
    <t>AOC Real Estate Projects</t>
  </si>
  <si>
    <t>AOC Transportation</t>
  </si>
  <si>
    <t>WoCC</t>
  </si>
  <si>
    <t>GL Code</t>
  </si>
  <si>
    <t>Good or Service?</t>
  </si>
  <si>
    <t>Fixed Asset Non-Production Clearing</t>
  </si>
  <si>
    <r>
      <t>CAPITAL PROJECT:</t>
    </r>
    <r>
      <rPr>
        <sz val="11"/>
        <color rgb="FF000000"/>
        <rFont val="Calibri"/>
        <family val="2"/>
        <scheme val="minor"/>
      </rPr>
      <t xml:space="preserve"> Goods / tangible assets only</t>
    </r>
  </si>
  <si>
    <t>Good or Service</t>
  </si>
  <si>
    <t>Printer / computer / office furniture rental  / shuttle or bus rental</t>
  </si>
  <si>
    <t>Spend for employee uniforms or towels</t>
  </si>
  <si>
    <t>**Service dropdown being added</t>
  </si>
  <si>
    <t>Repairs for company cars, etc.</t>
  </si>
  <si>
    <t>Vehicle Lease Expense - Logistics</t>
  </si>
  <si>
    <t>Employee company car costs - will be reclassed to OU cost center as this is a benefit, not a GRW cost</t>
  </si>
  <si>
    <t>ADDITIONAL DETAILS FOR PO REQUEST</t>
  </si>
  <si>
    <t>START DELIVERY DATE</t>
  </si>
  <si>
    <t>END DELIVERY DATE</t>
  </si>
  <si>
    <t>CNY</t>
  </si>
  <si>
    <t>City</t>
  </si>
  <si>
    <t>Country</t>
  </si>
  <si>
    <t>Compcode</t>
  </si>
  <si>
    <t>purch org</t>
  </si>
  <si>
    <t>plant</t>
  </si>
  <si>
    <t>Currency</t>
  </si>
  <si>
    <t>P08 cc#</t>
  </si>
  <si>
    <t>S4  cc#</t>
  </si>
  <si>
    <t>Abidjan</t>
  </si>
  <si>
    <t>Cote D'Ivoire</t>
  </si>
  <si>
    <t>XOF</t>
  </si>
  <si>
    <t>Accra</t>
  </si>
  <si>
    <t>Ghana</t>
  </si>
  <si>
    <t>GHS</t>
  </si>
  <si>
    <t>Algiers</t>
  </si>
  <si>
    <t>DZD</t>
  </si>
  <si>
    <t>Almaty</t>
  </si>
  <si>
    <t>Kazakhstan</t>
  </si>
  <si>
    <t>KZT</t>
  </si>
  <si>
    <t>Angola</t>
  </si>
  <si>
    <t>AOA</t>
  </si>
  <si>
    <t>Athens</t>
  </si>
  <si>
    <t>EUR</t>
  </si>
  <si>
    <t>Bahrain</t>
  </si>
  <si>
    <t>BHD</t>
  </si>
  <si>
    <t>Belgrade</t>
  </si>
  <si>
    <t>Serbia</t>
  </si>
  <si>
    <t>RSD</t>
  </si>
  <si>
    <t>Berlin</t>
  </si>
  <si>
    <t>Germany</t>
  </si>
  <si>
    <t>Bnei Brak</t>
  </si>
  <si>
    <t>Israel</t>
  </si>
  <si>
    <t>ILS</t>
  </si>
  <si>
    <t>Bruetttisellen</t>
  </si>
  <si>
    <t>Switzerland</t>
  </si>
  <si>
    <t>CHF</t>
  </si>
  <si>
    <t>Brussels</t>
  </si>
  <si>
    <t>Bucharest</t>
  </si>
  <si>
    <t>Roumania</t>
  </si>
  <si>
    <t>RON</t>
  </si>
  <si>
    <t>Cairo</t>
  </si>
  <si>
    <t>EGP</t>
  </si>
  <si>
    <t>Casablanca</t>
  </si>
  <si>
    <t>MAD</t>
  </si>
  <si>
    <t>Copenhagen</t>
  </si>
  <si>
    <t>DKK</t>
  </si>
  <si>
    <t>Dar Es Salaam</t>
  </si>
  <si>
    <t>Tanzania</t>
  </si>
  <si>
    <t>TZS</t>
  </si>
  <si>
    <t>Drogheda</t>
  </si>
  <si>
    <t>Dubai</t>
  </si>
  <si>
    <t>Dubai Lab fac</t>
  </si>
  <si>
    <t>AED</t>
  </si>
  <si>
    <t>Dublin BU Office</t>
  </si>
  <si>
    <t>Dublin New Hub</t>
  </si>
  <si>
    <t>Dunaharasti</t>
  </si>
  <si>
    <t>Hungary</t>
  </si>
  <si>
    <t>HUF</t>
  </si>
  <si>
    <t>Haninge</t>
  </si>
  <si>
    <t>Sweden</t>
  </si>
  <si>
    <t>SEK</t>
  </si>
  <si>
    <t>Harare</t>
  </si>
  <si>
    <t>Zimbabwe</t>
  </si>
  <si>
    <t>ZWD</t>
  </si>
  <si>
    <t>Istanbul</t>
  </si>
  <si>
    <t>TRY</t>
  </si>
  <si>
    <t>Johannesburg</t>
  </si>
  <si>
    <t>ZAR</t>
  </si>
  <si>
    <t>Kampala State</t>
  </si>
  <si>
    <t>Uganda</t>
  </si>
  <si>
    <t>UGX</t>
  </si>
  <si>
    <t>Kereva</t>
  </si>
  <si>
    <t>Finland</t>
  </si>
  <si>
    <t>Kiev</t>
  </si>
  <si>
    <t>Ukraine</t>
  </si>
  <si>
    <t>UAH</t>
  </si>
  <si>
    <t>NGN</t>
  </si>
  <si>
    <t>Lahore</t>
  </si>
  <si>
    <t>PKR</t>
  </si>
  <si>
    <t>Lisbon</t>
  </si>
  <si>
    <t>Portugal</t>
  </si>
  <si>
    <t>London</t>
  </si>
  <si>
    <t>GBP</t>
  </si>
  <si>
    <t>Lørenskog</t>
  </si>
  <si>
    <t>Norway</t>
  </si>
  <si>
    <t>NOK</t>
  </si>
  <si>
    <t>Madrid</t>
  </si>
  <si>
    <t>Milan</t>
  </si>
  <si>
    <t>Minsk</t>
  </si>
  <si>
    <t>Belarus</t>
  </si>
  <si>
    <t>BYN</t>
  </si>
  <si>
    <t>Moscow</t>
  </si>
  <si>
    <t>Russia</t>
  </si>
  <si>
    <t>RUB</t>
  </si>
  <si>
    <t>Nairobi</t>
  </si>
  <si>
    <t>KES</t>
  </si>
  <si>
    <t>Paris</t>
  </si>
  <si>
    <t>Port Louis</t>
  </si>
  <si>
    <t>Mauritius</t>
  </si>
  <si>
    <t>MUR</t>
  </si>
  <si>
    <t>Praha</t>
  </si>
  <si>
    <t>Czech Republic</t>
  </si>
  <si>
    <t>CZK</t>
  </si>
  <si>
    <t>Riyadh</t>
  </si>
  <si>
    <t>Saudi Arabia</t>
  </si>
  <si>
    <t>SAR</t>
  </si>
  <si>
    <t>Rotterdam</t>
  </si>
  <si>
    <t>The Netherlands</t>
  </si>
  <si>
    <t>Sarajeve</t>
  </si>
  <si>
    <t>Bosnia &amp; Herzegovina</t>
  </si>
  <si>
    <t>BAM</t>
  </si>
  <si>
    <t>Sofia IT Office</t>
  </si>
  <si>
    <t>Sofia OU Office</t>
  </si>
  <si>
    <t>Taillin</t>
  </si>
  <si>
    <t>Estonia</t>
  </si>
  <si>
    <t>Tunis</t>
  </si>
  <si>
    <t>Tunisia</t>
  </si>
  <si>
    <t>TND</t>
  </si>
  <si>
    <t>Vienna</t>
  </si>
  <si>
    <t>Warsaw</t>
  </si>
  <si>
    <t>PLN</t>
  </si>
  <si>
    <t>Zagreb</t>
  </si>
  <si>
    <t>Croatia</t>
  </si>
  <si>
    <t>HRK</t>
  </si>
  <si>
    <t>Uzbekistan</t>
  </si>
  <si>
    <t>UZS</t>
  </si>
  <si>
    <t>Addis Ababa</t>
  </si>
  <si>
    <t>Ethiopia</t>
  </si>
  <si>
    <t>Comment</t>
  </si>
  <si>
    <t>Manila</t>
  </si>
  <si>
    <t>Philippines</t>
  </si>
  <si>
    <t>Office</t>
  </si>
  <si>
    <t>Gurgaon</t>
  </si>
  <si>
    <t>INR</t>
  </si>
  <si>
    <t>india</t>
  </si>
  <si>
    <t>Lab</t>
  </si>
  <si>
    <t>Ho Chi Minh City</t>
  </si>
  <si>
    <t>USD</t>
  </si>
  <si>
    <t>Bangalore</t>
  </si>
  <si>
    <t>GCM</t>
  </si>
  <si>
    <t>Beijing (BU)</t>
  </si>
  <si>
    <t>Beijing (CPS)</t>
  </si>
  <si>
    <t>Shanghai (BU)</t>
  </si>
  <si>
    <t>Shanghai (CPS)</t>
  </si>
  <si>
    <t>Taipei</t>
  </si>
  <si>
    <t>l</t>
  </si>
  <si>
    <t>TWD</t>
  </si>
  <si>
    <t>Yangon</t>
  </si>
  <si>
    <t>MMK</t>
  </si>
  <si>
    <t>Jakarta (BU)</t>
  </si>
  <si>
    <t>IDR</t>
  </si>
  <si>
    <t>Jakarta (CPS)</t>
  </si>
  <si>
    <t>JSK</t>
  </si>
  <si>
    <t>Shibuya Tokyo</t>
  </si>
  <si>
    <t>1035 (BU)</t>
  </si>
  <si>
    <t>JPY</t>
  </si>
  <si>
    <t>Moriyama (CPS/R&amp;D)</t>
  </si>
  <si>
    <t>1006 (CPS)</t>
  </si>
  <si>
    <t>Odaiba (R&amp;D)</t>
  </si>
  <si>
    <t>Seoul</t>
  </si>
  <si>
    <t>South Korea</t>
  </si>
  <si>
    <t>0119 (BU)</t>
  </si>
  <si>
    <t>KRW</t>
  </si>
  <si>
    <t>0079 (CPS)</t>
  </si>
  <si>
    <t>HKD</t>
  </si>
  <si>
    <t>Kuala Lumpur</t>
  </si>
  <si>
    <t>MYR</t>
  </si>
  <si>
    <t>Guangzhou (BU)</t>
  </si>
  <si>
    <t>Guangzhou</t>
  </si>
  <si>
    <t>Bangkok</t>
  </si>
  <si>
    <t>THB</t>
  </si>
  <si>
    <t>SGD</t>
  </si>
  <si>
    <t>R&amp;D KSP</t>
  </si>
  <si>
    <t>Dhaka</t>
  </si>
  <si>
    <t>BDT</t>
  </si>
  <si>
    <t>North Sydney</t>
  </si>
  <si>
    <t>AUD</t>
  </si>
  <si>
    <t xml:space="preserve">St Leonards  </t>
  </si>
  <si>
    <t>R&amp;D</t>
  </si>
  <si>
    <t>Auckland</t>
  </si>
  <si>
    <t>NZD</t>
  </si>
  <si>
    <t>Colombo</t>
  </si>
  <si>
    <t>LKR</t>
  </si>
  <si>
    <t>R&amp;D ICE</t>
  </si>
  <si>
    <t>Mumbai</t>
  </si>
  <si>
    <t>Kolkata</t>
  </si>
  <si>
    <t>Space Type</t>
  </si>
  <si>
    <t>NA</t>
  </si>
  <si>
    <t>Irvine CA</t>
  </si>
  <si>
    <t>Canada</t>
  </si>
  <si>
    <t>Draper UT (Bottler)</t>
  </si>
  <si>
    <t>Utah</t>
  </si>
  <si>
    <t>Bismark ND (Bottler)</t>
  </si>
  <si>
    <t>Plano TX</t>
  </si>
  <si>
    <t>Bloomington MN</t>
  </si>
  <si>
    <t>Chicago IL (McD)</t>
  </si>
  <si>
    <t>San Antonia TX</t>
  </si>
  <si>
    <t>Texas</t>
  </si>
  <si>
    <t>Cincinnati OH (Kroger)</t>
  </si>
  <si>
    <t>Nashville TN ($Gen)</t>
  </si>
  <si>
    <t>Washing DC Facility</t>
  </si>
  <si>
    <t>Dark</t>
  </si>
  <si>
    <t>Elmsford NY</t>
  </si>
  <si>
    <t>New York</t>
  </si>
  <si>
    <t>Sugarland Facility</t>
  </si>
  <si>
    <t>Sanctuary Park GA</t>
  </si>
  <si>
    <t>Georgia</t>
  </si>
  <si>
    <t>Madison Ave Facility</t>
  </si>
  <si>
    <t>Brandon Facilities</t>
  </si>
  <si>
    <t>CCNA Field Administration</t>
  </si>
  <si>
    <t>TISC</t>
  </si>
  <si>
    <t>Corporate</t>
  </si>
  <si>
    <t>Coca-Cola Tech Plaza</t>
  </si>
  <si>
    <t>Apopka Facility</t>
  </si>
  <si>
    <t>PETC Facility</t>
  </si>
  <si>
    <t>Consumer Center</t>
  </si>
  <si>
    <t>Hangar Facilities</t>
  </si>
  <si>
    <t>Apopka FL-Flavor Mfg-New Whse</t>
  </si>
  <si>
    <t>Toronto ON (Hdq)</t>
  </si>
  <si>
    <t>Puerto Rico</t>
  </si>
  <si>
    <t>GWS</t>
  </si>
  <si>
    <t>Global PMO and Branding</t>
  </si>
  <si>
    <t>Workplace Experience &amp; Technology</t>
  </si>
  <si>
    <t>Workplace Strategy</t>
  </si>
  <si>
    <t>GWS Leadership</t>
  </si>
  <si>
    <t>Charlotte NC - Facilities Cost</t>
  </si>
  <si>
    <t>Tempe AZ - Facilities Cost</t>
  </si>
  <si>
    <t>Dallas TX - Facilities Cost</t>
  </si>
  <si>
    <t>Tampa FL - Facilities Cost</t>
  </si>
  <si>
    <t>Bellvue WA - Facilities Cost</t>
  </si>
  <si>
    <t>Wlanut CreekCA - Facilities Cost</t>
  </si>
  <si>
    <t>World of Coke</t>
  </si>
  <si>
    <t>PLAZA TEMPO</t>
  </si>
  <si>
    <t>COSTA RICA</t>
  </si>
  <si>
    <t>CRC</t>
  </si>
  <si>
    <t>GUATEMALA</t>
  </si>
  <si>
    <t>GTQ</t>
  </si>
  <si>
    <t>SAN SALVADOR</t>
  </si>
  <si>
    <t>EL SALVADOR</t>
  </si>
  <si>
    <t>SANTO DOMINGO</t>
  </si>
  <si>
    <t>REPUBLICA DOMINICANA</t>
  </si>
  <si>
    <t>DOP</t>
  </si>
  <si>
    <t>QUITO</t>
  </si>
  <si>
    <t>ECUADOR</t>
  </si>
  <si>
    <t>BOGOTA</t>
  </si>
  <si>
    <t>COLOMBIA</t>
  </si>
  <si>
    <t>COP</t>
  </si>
  <si>
    <t>MONTERREY</t>
  </si>
  <si>
    <t>MEXICO</t>
  </si>
  <si>
    <t>MXN</t>
  </si>
  <si>
    <t>R&amp;D 180</t>
  </si>
  <si>
    <t>ASL 190</t>
  </si>
  <si>
    <t>RUBEN DARIO</t>
  </si>
  <si>
    <t>BRASILIA</t>
  </si>
  <si>
    <t>BRAZIL</t>
  </si>
  <si>
    <t>BRL</t>
  </si>
  <si>
    <t>FORTALEZA</t>
  </si>
  <si>
    <t>SAO PAULO</t>
  </si>
  <si>
    <t>RIO DE JANEIRO, BOTAFOGO</t>
  </si>
  <si>
    <t>VEDIA</t>
  </si>
  <si>
    <t>ARGENTINA</t>
  </si>
  <si>
    <t>ARS</t>
  </si>
  <si>
    <t>SANTIAGO DE CHILE</t>
  </si>
  <si>
    <t>CHILE</t>
  </si>
  <si>
    <t>CLP</t>
  </si>
  <si>
    <t>LIMA</t>
  </si>
  <si>
    <t>PERU</t>
  </si>
  <si>
    <t>PEN</t>
  </si>
  <si>
    <t>SANTA CRUZ</t>
  </si>
  <si>
    <t>BOLIVIA</t>
  </si>
  <si>
    <t>BOB</t>
  </si>
  <si>
    <t>Quarry Bay Hong Kong</t>
  </si>
  <si>
    <t>MG 80101532</t>
  </si>
  <si>
    <t>MG 44120000</t>
  </si>
  <si>
    <t>MG 72121103</t>
  </si>
  <si>
    <t>MG 80131799</t>
  </si>
  <si>
    <t>Renovation Services</t>
  </si>
  <si>
    <r>
      <t>CAPITAL PROJECT:</t>
    </r>
    <r>
      <rPr>
        <sz val="11"/>
        <color rgb="FF000000"/>
        <rFont val="Calibri"/>
        <family val="2"/>
        <scheme val="minor"/>
      </rPr>
      <t xml:space="preserve"> Services (Labor, Delivery, transport...)</t>
    </r>
  </si>
  <si>
    <r>
      <t>OPEX PROJECT:</t>
    </r>
    <r>
      <rPr>
        <sz val="11"/>
        <color rgb="FF000000"/>
        <rFont val="Calibri"/>
        <family val="2"/>
        <scheme val="minor"/>
      </rPr>
      <t xml:space="preserve"> Services only </t>
    </r>
  </si>
  <si>
    <t>PROJECT OPEX</t>
  </si>
  <si>
    <t>PROJECT CAPEX</t>
  </si>
  <si>
    <t>OPEX</t>
  </si>
  <si>
    <t xml:space="preserve">OpeX PROJECT: Goods only </t>
  </si>
  <si>
    <t>ALL LOCATIONS</t>
  </si>
  <si>
    <t>Note: Select the country. You can type few letters of the country to filter</t>
  </si>
  <si>
    <t>Plant</t>
  </si>
  <si>
    <t>Plant Name</t>
  </si>
  <si>
    <t xml:space="preserve">Plant Address </t>
  </si>
  <si>
    <t>Purchase Org</t>
  </si>
  <si>
    <t>Purchase Org Name</t>
  </si>
  <si>
    <t>Company Code Name</t>
  </si>
  <si>
    <t>Werk 000</t>
  </si>
  <si>
    <t>Neurottstra e 16 Walldorf 69190</t>
  </si>
  <si>
    <t>Einkaufsorg. 0001</t>
  </si>
  <si>
    <t>SAP A.G.</t>
  </si>
  <si>
    <t>US 0801 Atlanta 0008</t>
  </si>
  <si>
    <t>125 491 Marietta Street</t>
  </si>
  <si>
    <t>Corporate (HQ)</t>
  </si>
  <si>
    <t>The Coca-Cola Company</t>
  </si>
  <si>
    <t>USA Indirect</t>
  </si>
  <si>
    <t>US 0670 ATLANTA 0010</t>
  </si>
  <si>
    <t>491 Marietta Street Atlanta 30313</t>
  </si>
  <si>
    <t>The Coca-Cola Trading Co</t>
  </si>
  <si>
    <t>BE OPEX</t>
  </si>
  <si>
    <t>SA Coca-Cola Services</t>
  </si>
  <si>
    <t>Watermanweg 20 Rotterdam 3009 AT</t>
  </si>
  <si>
    <t>FR 1758 Issy Les Moulinea 0014</t>
  </si>
  <si>
    <t>9 Chemin de Bretagne Issy Les Moulineaux Cedex 92130</t>
  </si>
  <si>
    <t>FR OPEX</t>
  </si>
  <si>
    <t>Coca-Cola Services France</t>
  </si>
  <si>
    <t>NL 1653 Rotterdam 0015</t>
  </si>
  <si>
    <t>Marten Meesweg 25H Rotterdam 3068 AV</t>
  </si>
  <si>
    <t>NL OPEX</t>
  </si>
  <si>
    <t>Coca-Cola Nederland BV</t>
  </si>
  <si>
    <t>BE 1732 Bruxelles 0016</t>
  </si>
  <si>
    <t>Chauss e de Mons 1424 Bruxelles 1070</t>
  </si>
  <si>
    <t>US 0911 ATLANTA 0019</t>
  </si>
  <si>
    <t>Coca-Cola Financial Corp</t>
  </si>
  <si>
    <t>US 0913 LAS VEGAS 0022</t>
  </si>
  <si>
    <t>Coca-Cola Oasis</t>
  </si>
  <si>
    <t>GB 1666 London 0024</t>
  </si>
  <si>
    <t>1A Wimpole Street London W1G 0EA</t>
  </si>
  <si>
    <t>GB OPEX</t>
  </si>
  <si>
    <t>Beverage Services Ltd</t>
  </si>
  <si>
    <t>GB 1666 London 0025</t>
  </si>
  <si>
    <t>NO 1804 LORENSKOG 0034</t>
  </si>
  <si>
    <t>Robsrudskogen 5 LORENSKOG 1471</t>
  </si>
  <si>
    <t>NO OPEX</t>
  </si>
  <si>
    <t>Coca-Cola Norge AS</t>
  </si>
  <si>
    <t>SE 1802 Haninge 0035</t>
  </si>
  <si>
    <t>Dryckesv gen 2C Haninge 136 89</t>
  </si>
  <si>
    <t>SE OPEX</t>
  </si>
  <si>
    <t>Coca-Cola AB</t>
  </si>
  <si>
    <t>FI 1588 KERAVA 0036</t>
  </si>
  <si>
    <t>Sinebrychoffinaukio 1 KERAVA 04250</t>
  </si>
  <si>
    <t>FI OPEX</t>
  </si>
  <si>
    <t>Coca-Cola Finland OY</t>
  </si>
  <si>
    <t>DK 1006 Hellerup 0046</t>
  </si>
  <si>
    <t>Phillip Heymanns Alle 17, 01, Hellerup 2900</t>
  </si>
  <si>
    <t>DK OPEX</t>
  </si>
  <si>
    <t>Coca-Cola Nordic Services</t>
  </si>
  <si>
    <t>CARIBBEAN REFRESCOS, INC</t>
  </si>
  <si>
    <t>CARRETERA 172 KM 13.4</t>
  </si>
  <si>
    <t>Puerto Rico Indirect</t>
  </si>
  <si>
    <t>Caribbean Refrescos Inc</t>
  </si>
  <si>
    <t>Edison Park Center-Viale Ediso Sesto San Giovanni 20099</t>
  </si>
  <si>
    <t>Am Euro Platz 2 Vienna 1120</t>
  </si>
  <si>
    <t>IT 1557 Sesto San Giovann 0053</t>
  </si>
  <si>
    <t>IT OPEX</t>
  </si>
  <si>
    <t>Coca-Cola Italia S.r.l.</t>
  </si>
  <si>
    <t>AT 1583 Vienna 0054</t>
  </si>
  <si>
    <t>AT OPEX</t>
  </si>
  <si>
    <t>Coca-Cola Ges m.b.H.</t>
  </si>
  <si>
    <t>AT 1583 Vienna 0055</t>
  </si>
  <si>
    <t>CH 1811 Bruettisellen 0056</t>
  </si>
  <si>
    <t>Stationsstrasse 33 Bruettisellen 8306</t>
  </si>
  <si>
    <t>CH OPEX</t>
  </si>
  <si>
    <t>Coca-Cola Schweiz GmbH</t>
  </si>
  <si>
    <t>IT 1701 San Giovanni 0058</t>
  </si>
  <si>
    <t>IT SIBIL OPEX</t>
  </si>
  <si>
    <t>SIBIL SRL</t>
  </si>
  <si>
    <t>IT 1557 Sesto San Giovann 0061</t>
  </si>
  <si>
    <t>CA 1551 Toronto 0071</t>
  </si>
  <si>
    <t>335 King Street East</t>
  </si>
  <si>
    <t>Coca-Cola Ltd.</t>
  </si>
  <si>
    <t>ES 1530 Madrid 0072</t>
  </si>
  <si>
    <t>Ribera del Loira 20-22 Madrid 28042</t>
  </si>
  <si>
    <t>ES OPEX</t>
  </si>
  <si>
    <t>Comp Servicios Beb Refr</t>
  </si>
  <si>
    <t>ES 5956 Madrid 0075</t>
  </si>
  <si>
    <t>ES FUNDACION OPEX</t>
  </si>
  <si>
    <t>Fundacion Coca-Cola</t>
  </si>
  <si>
    <t>DE 1575 Berlin 0081</t>
  </si>
  <si>
    <t>Stralauer Allee 4 Berlin 10245</t>
  </si>
  <si>
    <t>DE OPEX</t>
  </si>
  <si>
    <t>Coca-Cola GmbH</t>
  </si>
  <si>
    <t>TCCEC Taguig HO.</t>
  </si>
  <si>
    <t>27th Floor Six/Neo Building, 5 Bonifacio Global City, Ta 1634</t>
  </si>
  <si>
    <t>Philippines Division</t>
  </si>
  <si>
    <t>TCCEC -Philippines Branch</t>
  </si>
  <si>
    <t>CCFEL H.O</t>
  </si>
  <si>
    <t>27th Floor Six/ NEO Building BGC, TAGUIG CITY, METRO M 1634</t>
  </si>
  <si>
    <t>CC Far East Ltd - Reg. HQ</t>
  </si>
  <si>
    <t>PL 1072 Warszawa 0094</t>
  </si>
  <si>
    <t>ul. Prosta 67 Warszawa 00-838</t>
  </si>
  <si>
    <t>PL OPEX</t>
  </si>
  <si>
    <t>Coca-Cola Poland Services</t>
  </si>
  <si>
    <t>HU 1761 Dunaharaszti 0096</t>
  </si>
  <si>
    <t>Nemedi ut. 104 Dunaharaszti 2330</t>
  </si>
  <si>
    <t>HU OPEX</t>
  </si>
  <si>
    <t>Coca-Cola Hungary Service</t>
  </si>
  <si>
    <t>CZ 1781 Praha 9 - Kyje 0099</t>
  </si>
  <si>
    <t>Ceskobrodska 1329 Praha 9 - Kyje 198 21</t>
  </si>
  <si>
    <t>CZ OPEX</t>
  </si>
  <si>
    <t>CC Ceska Republika sro</t>
  </si>
  <si>
    <t>SK 1780 Bratislava 36 0101</t>
  </si>
  <si>
    <t>Tuhovska 1 Bratislava 36 830 06</t>
  </si>
  <si>
    <t>Slovakia</t>
  </si>
  <si>
    <t>Coca-Cola Slovakia sro</t>
  </si>
  <si>
    <t>Manaus Concentrate Plant</t>
  </si>
  <si>
    <t>AVENIDA BURITI 190 Manaus 69075-000</t>
  </si>
  <si>
    <t>Recofarma Industria</t>
  </si>
  <si>
    <t>Recofarma Ind do Amazona</t>
  </si>
  <si>
    <t>Manaus Conc Plant</t>
  </si>
  <si>
    <t>São  Paulo</t>
  </si>
  <si>
    <t>RUA ARQUITETO OLAVO REDI, cj30</t>
  </si>
  <si>
    <t>Brasília</t>
  </si>
  <si>
    <t>Setor Habitacional I 14, conj.</t>
  </si>
  <si>
    <t>Porto Alegre</t>
  </si>
  <si>
    <t>Av.D.Pedro II, 1351, conj.301</t>
  </si>
  <si>
    <t>Fortaleza</t>
  </si>
  <si>
    <t>Av, Washington Soares, 55, Sal</t>
  </si>
  <si>
    <t>(REC) Praia de Botafogo</t>
  </si>
  <si>
    <t>Praia de Botafogo, 374</t>
  </si>
  <si>
    <t>(REC) Suburbana</t>
  </si>
  <si>
    <t>Av.Dom Helder Câmara, 5123</t>
  </si>
  <si>
    <t>(CCIL) Praia de Botafogo</t>
  </si>
  <si>
    <t>Praia de Botafogo 374</t>
  </si>
  <si>
    <t>Coca-Cola Industria</t>
  </si>
  <si>
    <t>CC Industrias Ltda - Braz</t>
  </si>
  <si>
    <t>BG 1689 Sofia 0121</t>
  </si>
  <si>
    <t xml:space="preserve">Racho P. Kazandzhiata Str. 8 Sofia </t>
  </si>
  <si>
    <t>BG OPEX</t>
  </si>
  <si>
    <t>Coca-Cola Bulgaria EOOD</t>
  </si>
  <si>
    <t>Coca-Cola (Thailand) Ltd</t>
  </si>
  <si>
    <t>214 2nd-3rd Floor, Thai Nam Th Bangkok 10210</t>
  </si>
  <si>
    <t>CC (Thailand) Ltd</t>
  </si>
  <si>
    <t>Itacan RJ</t>
  </si>
  <si>
    <t>Av.  Dom Helder C mara 5123 RIO DE JANEIRO 20771-330</t>
  </si>
  <si>
    <t>Itacan Refigerantes Ltda</t>
  </si>
  <si>
    <t>ICCBR</t>
  </si>
  <si>
    <t>Praia de Botafogo 374, 4o.anda RIO DE JANEIRO 22250-040</t>
  </si>
  <si>
    <t>Instituto Coca-Cola Branc</t>
  </si>
  <si>
    <t>TR 1760 Altunizade - Istanbul</t>
  </si>
  <si>
    <t>Fahrettin Kerim Gokay Caddesi Altunizade - Istanbul 81190</t>
  </si>
  <si>
    <t>Turkey MPDH</t>
  </si>
  <si>
    <t>CC Mesrubat Pazarlama</t>
  </si>
  <si>
    <t>TR 1760 Altunizade - Ista 0146</t>
  </si>
  <si>
    <t>GR 1561 Maroussi 0147</t>
  </si>
  <si>
    <t>Kifissias 26 &amp; Paradisou 2 Maroussi 15125</t>
  </si>
  <si>
    <t>GR OPEX</t>
  </si>
  <si>
    <t>Coca-Cola Hellas S.A.</t>
  </si>
  <si>
    <t>RO 1688 Bucharest 0149</t>
  </si>
  <si>
    <t>Sos. Bucuresti - Ploiesti 1A, Bucharest 013681</t>
  </si>
  <si>
    <t>RO OPEX</t>
  </si>
  <si>
    <t>Coca-Cola Romania SRL</t>
  </si>
  <si>
    <t>HR 1791 Zagreb 0150</t>
  </si>
  <si>
    <t>Milana Sachsa 1 Zagreb 10000</t>
  </si>
  <si>
    <t>HR OPEX</t>
  </si>
  <si>
    <t>INACT-Coca-Cola Adria Ltd</t>
  </si>
  <si>
    <t>BG 1689 Sofia 0154</t>
  </si>
  <si>
    <t>Racho P. Kazandzhiata Str. 8 Sofia 1715</t>
  </si>
  <si>
    <t>Refrescos Envasados S.A.</t>
  </si>
  <si>
    <t>ES REFRESCOS OPEX</t>
  </si>
  <si>
    <t>Refrescos Envasados</t>
  </si>
  <si>
    <t>PT. COCA-COLA INDONESIA</t>
  </si>
  <si>
    <t>Jl. Raya Jakarta - Bogor Km. 3 Depok 16458</t>
  </si>
  <si>
    <t>PT. Coca-Cola Indonesia</t>
  </si>
  <si>
    <t>Indonesia Indirect</t>
  </si>
  <si>
    <t>ID 1541  0189</t>
  </si>
  <si>
    <t>Cilandak,JAKARTA</t>
  </si>
  <si>
    <t>IL 1080 Bnei Brak 0197</t>
  </si>
  <si>
    <t>Suite 301,111 Kahaneman Street Bnei Brak 51553</t>
  </si>
  <si>
    <t>Israel OPEX&amp;FA</t>
  </si>
  <si>
    <t>RPSI - Israel Branch</t>
  </si>
  <si>
    <t>Israel Branch - RPS</t>
  </si>
  <si>
    <t>TCCEC - Mexico Branch</t>
  </si>
  <si>
    <t>MX 1603 Mexico 0214</t>
  </si>
  <si>
    <t>Miguel Hidalgo Mexico 11580</t>
  </si>
  <si>
    <t>Mexico PISA</t>
  </si>
  <si>
    <t>PISA</t>
  </si>
  <si>
    <t>MX 1665 Mexico 0215</t>
  </si>
  <si>
    <t>Mexico SIAAGSRLCV</t>
  </si>
  <si>
    <t>SIAAG S de RL de CV</t>
  </si>
  <si>
    <t>MX 1202 Mexico 0217</t>
  </si>
  <si>
    <t>TCCEC - MEX Division</t>
  </si>
  <si>
    <t>MX 1202 Mexico 0218</t>
  </si>
  <si>
    <t>Ruben Dario 115 Mexico 11580</t>
  </si>
  <si>
    <t>RU 1003 Moscow 0222</t>
  </si>
  <si>
    <t>Novoorlovskaya 7 Moscow 119633</t>
  </si>
  <si>
    <t>Russia - Export Corp</t>
  </si>
  <si>
    <t>TCCEC - Moscow Rep Office</t>
  </si>
  <si>
    <t>RU 1015 Moscow 0223</t>
  </si>
  <si>
    <t>Russia - CCSDC</t>
  </si>
  <si>
    <t>CC Soft Drink Consulting</t>
  </si>
  <si>
    <t>RU 1015 Moscow 0224</t>
  </si>
  <si>
    <t>UA 1078 Kyiv 0225</t>
  </si>
  <si>
    <t>17-G, Hryhoriya Skovorody Str. Kyiv 04070</t>
  </si>
  <si>
    <t>Ukraine/Belarus</t>
  </si>
  <si>
    <t>Coca-Cola Ukraine Ltd</t>
  </si>
  <si>
    <t>UA 1078 Kyiv 0227</t>
  </si>
  <si>
    <t>Velyka Vasylkivska Str, 139 Kyiv 03150</t>
  </si>
  <si>
    <t>BY 1078 Minsk 0228</t>
  </si>
  <si>
    <t>Industrial district Kolyadichy Minsk 223010</t>
  </si>
  <si>
    <t>Coca-Cola de Chile S.A.</t>
  </si>
  <si>
    <t>Serv y Prod p/Beb Refr</t>
  </si>
  <si>
    <t>US 1040 ATLANTA 0239</t>
  </si>
  <si>
    <t>491 Marietta Street Atlanta 30301</t>
  </si>
  <si>
    <t>Minute Maid International</t>
  </si>
  <si>
    <t>MX 1326 Mexico 0251</t>
  </si>
  <si>
    <t>Markco Division</t>
  </si>
  <si>
    <t>JDV Markco SAPI de CV</t>
  </si>
  <si>
    <t>MX 1326 Mexico 0252</t>
  </si>
  <si>
    <t>NL 1679 Rotterdam 0263</t>
  </si>
  <si>
    <t>NL HOLDINGS OPEX</t>
  </si>
  <si>
    <t>Coca-Cola Trading NL B.V.</t>
  </si>
  <si>
    <t>Coca-Cola South Pacific Pty Lt</t>
  </si>
  <si>
    <t>Level9 40 Mount Street North Sydney NSW2060, 2060</t>
  </si>
  <si>
    <t>CC South Pacific</t>
  </si>
  <si>
    <t>Coca-Cola South Pacific</t>
  </si>
  <si>
    <t>Coca Cola Oceania Ltd</t>
  </si>
  <si>
    <t>The Oasis Mt. Wellington Auckland 2042</t>
  </si>
  <si>
    <t>CC Oceania Ltd</t>
  </si>
  <si>
    <t>Coca-Cola Oceania Limited</t>
  </si>
  <si>
    <t>KZ 1760 Almaty 0279</t>
  </si>
  <si>
    <t>Gogol Street  211 Almaty 480096</t>
  </si>
  <si>
    <t>TR 1107 tunizade - Ista 0280</t>
  </si>
  <si>
    <t>Turkey TCCEC</t>
  </si>
  <si>
    <t>TCCEC - Turkey Branch</t>
  </si>
  <si>
    <t>PK 1154 Lahore 0282</t>
  </si>
  <si>
    <t xml:space="preserve">89-B-II, Gulberg III Lahore </t>
  </si>
  <si>
    <t>Pakistan TCCEC</t>
  </si>
  <si>
    <t>TCCEC - Pakistan Branch</t>
  </si>
  <si>
    <t>PK 1154 Lahore 0283</t>
  </si>
  <si>
    <t>27-Q, College Road, Gulbe Lahore 54660</t>
  </si>
  <si>
    <t>MMJ Operating &amp; Capital</t>
  </si>
  <si>
    <t>Bergensesteenweg, 1424 Brussels 1070</t>
  </si>
  <si>
    <t>BE MINUTE MAID JUICE</t>
  </si>
  <si>
    <t>Minute Maid Juices SA/NV</t>
  </si>
  <si>
    <t>Coca-Cola Industrias Ltda</t>
  </si>
  <si>
    <t>COCA-COLA INDUSTRIAS LTDA</t>
  </si>
  <si>
    <t>Plaza Tempo, Autop. San Jose 10203</t>
  </si>
  <si>
    <t>VCCA&amp;C OPEX-CAPEX</t>
  </si>
  <si>
    <t>CR 7004 San Jose 0301</t>
  </si>
  <si>
    <t xml:space="preserve">125 m. al este de la plaza de San Jose </t>
  </si>
  <si>
    <t>CCIC - Costa Rica Branch</t>
  </si>
  <si>
    <t>Panama Cuidad CA&amp;C</t>
  </si>
  <si>
    <t>Calle 53 Av. 5ta B Sur Ciudad Panama 0808</t>
  </si>
  <si>
    <t>CCIC - Panama Branch</t>
  </si>
  <si>
    <t>Guatemala Cuidad CA&amp;C</t>
  </si>
  <si>
    <t>Ave Las Americas 18-81, Zona 1 Ciudad Guatemala 10101</t>
  </si>
  <si>
    <t>Comp Servicios Dist Norte</t>
  </si>
  <si>
    <t>Honduras San Pedro Sula CA&amp;C</t>
  </si>
  <si>
    <t>Edificio Megaplaza 3er Piso. San Pedro Sula 9999</t>
  </si>
  <si>
    <t>Comp Servicios Dist Centr</t>
  </si>
  <si>
    <t>Dominican Rep CA&amp;C</t>
  </si>
  <si>
    <t>Calle Jose A. Soler esq. Santa Domingo 10148</t>
  </si>
  <si>
    <t>Dist La Hispaniola Comp</t>
  </si>
  <si>
    <t>El Salvador CA&amp;C</t>
  </si>
  <si>
    <t>Av Albert Einstein 17 C San Salvador 01101</t>
  </si>
  <si>
    <t>Comp Servicios El Salvado</t>
  </si>
  <si>
    <t>Trinidad &amp; Tobago CA&amp;C</t>
  </si>
  <si>
    <t>Office #5 Herbert Street Port-of-Spain,Trinidad 9999</t>
  </si>
  <si>
    <t>Caribbean Services Trinid</t>
  </si>
  <si>
    <t>Panama Coca-Cola Export</t>
  </si>
  <si>
    <t>World Trade Center</t>
  </si>
  <si>
    <t>TCCEC - Panama Branch</t>
  </si>
  <si>
    <t>Coca-Cola Bebidas de CO</t>
  </si>
  <si>
    <t>CO 1795 Bogotá D.C. 0332</t>
  </si>
  <si>
    <t xml:space="preserve">Avenida Carrera 45 No.103-60 P Bogot  D.C. </t>
  </si>
  <si>
    <t>Jamaica - CA&amp;C OPEX-CAPEX</t>
  </si>
  <si>
    <t>1693 Spanish Town Road</t>
  </si>
  <si>
    <t>Caribbean Serv Co Jamaica</t>
  </si>
  <si>
    <t>Itacan SP</t>
  </si>
  <si>
    <t>Av.Dr.Cardoso de Me 1450, cj30 SAO PAULO 04548-004</t>
  </si>
  <si>
    <t>DUNEDIN SYRUP PLANT</t>
  </si>
  <si>
    <t>1204 Martin Luther King Jr. Av DUNEDIN 34698</t>
  </si>
  <si>
    <t>Coca-Cola North America</t>
  </si>
  <si>
    <t>APOPKA SYRUP PLANT</t>
  </si>
  <si>
    <t>2659 Orange Ave. APOPKA 32703</t>
  </si>
  <si>
    <t>ONTARIO SYRUP PLANT</t>
  </si>
  <si>
    <t>1650 SOUTH VINTAGE AVE. ONTARIO 91761</t>
  </si>
  <si>
    <t>COLUMBUS SYRUP PLANT</t>
  </si>
  <si>
    <t>2455 WATKINS ROAD COLUMBUS 43207</t>
  </si>
  <si>
    <t>PORTLAND SYRUP PLANT</t>
  </si>
  <si>
    <t>2710 NE DAVIS STREET PORTLAND 97232</t>
  </si>
  <si>
    <t>ATLANTA SYRUP PLANT</t>
  </si>
  <si>
    <t>3791 BROWNS MILL ROAD ATLANTA 30354</t>
  </si>
  <si>
    <t>DALLAS SYRUP PLANT</t>
  </si>
  <si>
    <t>6445 LEMMON AVE. DALLAS 75209</t>
  </si>
  <si>
    <t>ALLENTOWN SYRUP PLANT</t>
  </si>
  <si>
    <t>7551 SCHANTZ ROAD ALLENTOWN 18106</t>
  </si>
  <si>
    <t>EWA BEACH SYRUP PLANT</t>
  </si>
  <si>
    <t>91-233 KALAELOA BLVD. KAPOLEI 96707</t>
  </si>
  <si>
    <t>PAW PAW THERMAL PLANT</t>
  </si>
  <si>
    <t>38279 Red Arrow Highway West PAW PAW 49079</t>
  </si>
  <si>
    <t>NORTHAMPTON THERMAL PLANT</t>
  </si>
  <si>
    <t>45 Industrial Drive NORTHAMPTON 01060</t>
  </si>
  <si>
    <t>AUBURNDALE THERMAL PLANT</t>
  </si>
  <si>
    <t>705 Main Street AUBURNDALE 33823</t>
  </si>
  <si>
    <t>WACO THERMAL PLANT</t>
  </si>
  <si>
    <t>8400 Imperial Drive WACO 76712</t>
  </si>
  <si>
    <t>PETERBOROUGH THERMAL PLANT</t>
  </si>
  <si>
    <t>781 Lansdowne St. W. PETERBOROUGH K9J 1Z2</t>
  </si>
  <si>
    <t>Minute Maid Canada</t>
  </si>
  <si>
    <t>US 0101 HOUSTON 0379</t>
  </si>
  <si>
    <t>2000 St. James Place HOUSTON 77056</t>
  </si>
  <si>
    <t>AI - Egypt Branch</t>
  </si>
  <si>
    <t>CA 1524 Toronto 0383</t>
  </si>
  <si>
    <t>3389 Steeles Avenue East Toronto M2H 3S8</t>
  </si>
  <si>
    <t>Coca-Cola India Pvt. Ltd.</t>
  </si>
  <si>
    <t>Plot No. 1109-1110 Village Pir Pune 412115</t>
  </si>
  <si>
    <t>India Indirect</t>
  </si>
  <si>
    <t>Cola-Cola India Private L</t>
  </si>
  <si>
    <t>Coca-Cola India, Inc.</t>
  </si>
  <si>
    <t>One Horizon Center, Golf Cours Gurugram 122002</t>
  </si>
  <si>
    <t>CC India, Inc.</t>
  </si>
  <si>
    <t>CC India Inc- India Branc</t>
  </si>
  <si>
    <t>IN 1158 DLF Phase V, Sec-43</t>
  </si>
  <si>
    <t>One Horizon Center, Golf Cours DLF Phase V, Sec-43, Guru 122002</t>
  </si>
  <si>
    <t>KE 1506 Nairobi 0393</t>
  </si>
  <si>
    <t>The Coca-Cola Plaza Nairobi 30134-0010</t>
  </si>
  <si>
    <t>CC East Africa</t>
  </si>
  <si>
    <t>CC Cent East &amp; West Afric</t>
  </si>
  <si>
    <t>NG 1512 Lagos 0394</t>
  </si>
  <si>
    <t>16 Gerrard Rd, Ikoyi Lagos IKOYI</t>
  </si>
  <si>
    <t>Coca-Cola Nigeria Ltd</t>
  </si>
  <si>
    <t>ZA 1519 Johanessburg 0395</t>
  </si>
  <si>
    <t>116 Oxford Road Johanessburg 2000</t>
  </si>
  <si>
    <t>CC South Africa</t>
  </si>
  <si>
    <t>CC Africa (Proprietary) L</t>
  </si>
  <si>
    <t>EG 1612 Cairo 0397</t>
  </si>
  <si>
    <t xml:space="preserve">Public Free Zone Cairo </t>
  </si>
  <si>
    <t>Egypt Branch - AIL</t>
  </si>
  <si>
    <t>TN 1766 TUNIS 0398</t>
  </si>
  <si>
    <t>Immeuble Les Arcades   Tour C Tunis 1053</t>
  </si>
  <si>
    <t>Bev Sces Tunisia</t>
  </si>
  <si>
    <t>Beverage Services Tunisia</t>
  </si>
  <si>
    <t>DZ 1021 ALGIERS 0400</t>
  </si>
  <si>
    <t>Algerie Algeria Business Cente Algiers 16000</t>
  </si>
  <si>
    <t>Algeria Rep Office</t>
  </si>
  <si>
    <t>TCCEC - Algeria Rep Offic</t>
  </si>
  <si>
    <t>MA 1104 Casablanca 0401</t>
  </si>
  <si>
    <t>C.T. 1029 Sidi Maarouf Casablanca 20190</t>
  </si>
  <si>
    <t>CC WAR- North</t>
  </si>
  <si>
    <t>TCCEC - Morocco Branch</t>
  </si>
  <si>
    <t>GH 1013 ACCRA 0406</t>
  </si>
  <si>
    <t xml:space="preserve">14, Ridge Road Accra </t>
  </si>
  <si>
    <t>Ghana Mktg</t>
  </si>
  <si>
    <t>CC Equatorial Africa Ltd</t>
  </si>
  <si>
    <t>EG 1612 CAIRO 0408</t>
  </si>
  <si>
    <t>PUBLIC FREE ZONE, NASR CITY, E CAIRO 11471</t>
  </si>
  <si>
    <t>TN 1612 Tunis 0409</t>
  </si>
  <si>
    <t>MU 1506 Quatre Bornes 0410</t>
  </si>
  <si>
    <t xml:space="preserve">6th Floor, France Centre  </t>
  </si>
  <si>
    <t>ET 1506 Addis Ababa 0415</t>
  </si>
  <si>
    <t xml:space="preserve">9th Floor, Room 803 Addis Ababa </t>
  </si>
  <si>
    <t>ZA Johanessburg 1519 0416</t>
  </si>
  <si>
    <t>9 Junction Avenue Johanessburg 2000</t>
  </si>
  <si>
    <t>Coca-Cola Argentina OPEX-CAPEX</t>
  </si>
  <si>
    <t>Vedia 4090 Buenos Aires C1430DAP</t>
  </si>
  <si>
    <t>ARGENTINA OPEX-CAPEX</t>
  </si>
  <si>
    <t>AR 1301 Buenos Aires 0421</t>
  </si>
  <si>
    <t>CL 1618 Las Condes 0427</t>
  </si>
  <si>
    <t xml:space="preserve">Av. Presidente Kennedy 5757,Of Las Condes - Santiago </t>
  </si>
  <si>
    <t>CHILE OPEX-CAPEX</t>
  </si>
  <si>
    <t>CL 1618 Las Condes - Santiago</t>
  </si>
  <si>
    <t>Perú OPEX-CAPEX</t>
  </si>
  <si>
    <t xml:space="preserve">Av. Rep blica de Panam  4050 Lima </t>
  </si>
  <si>
    <t>PERU OPEX-CAPEX</t>
  </si>
  <si>
    <t>Coca-Cola Serv Peru</t>
  </si>
  <si>
    <t>PE 1796 Lima 0431</t>
  </si>
  <si>
    <t xml:space="preserve">Av. Republica de Panama 4050 Lima </t>
  </si>
  <si>
    <t>Perú Beverage Ltd. OPEX-CAPEX</t>
  </si>
  <si>
    <t xml:space="preserve">Av. Republica de Panam  Lima </t>
  </si>
  <si>
    <t>INACT-Peru Beverage Limit</t>
  </si>
  <si>
    <t>Beverage Brand Perú OPEX-CAPEX</t>
  </si>
  <si>
    <t>Beverage Brands SRL</t>
  </si>
  <si>
    <t>PE 1023 Lima 0435</t>
  </si>
  <si>
    <t>Corporación Inca Kola Per</t>
  </si>
  <si>
    <t>BO 1735 Santa Cruz 0436</t>
  </si>
  <si>
    <t xml:space="preserve">Edificio Torre Equipetrol, Pis Santa Cruz de la Sierra </t>
  </si>
  <si>
    <t>BUP OPEX-CAPEX</t>
  </si>
  <si>
    <t>Soft Drink Services-Boliv</t>
  </si>
  <si>
    <t>PE 1023 Lima 0438</t>
  </si>
  <si>
    <t>ZA 1519 JOHANESSBURG 0452</t>
  </si>
  <si>
    <t>ZW 1519 Harare 0453</t>
  </si>
  <si>
    <t xml:space="preserve">1st Floor, Topaz Building Harare </t>
  </si>
  <si>
    <t>DZ 1612 Algiers 0455</t>
  </si>
  <si>
    <t>Lot 3 Zhun Mohamed Garida KOUB Algiers 16000</t>
  </si>
  <si>
    <t>South Latin Div. OPEX-CAPEX</t>
  </si>
  <si>
    <t>AR 1301 Buenos Aires 0457</t>
  </si>
  <si>
    <t>Av.Rep blica de El Salvador N3 Quito 170505</t>
  </si>
  <si>
    <t>Coca-Cola de Ecuador SA</t>
  </si>
  <si>
    <t>EC 1762 Quito 0459</t>
  </si>
  <si>
    <t xml:space="preserve">Av.Rep blica de El Salvador N3 Quito </t>
  </si>
  <si>
    <t>Costa Rica - San Jose Service</t>
  </si>
  <si>
    <t>Este, Plaza de Deportes 200</t>
  </si>
  <si>
    <t>FTZ Coca-Cola Service</t>
  </si>
  <si>
    <t>Costa Rica Park Admin</t>
  </si>
  <si>
    <t>FTZ Coca-Cola Park Admin</t>
  </si>
  <si>
    <t>Chevalier Cold Storage&amp;WH Ltd</t>
  </si>
  <si>
    <t>Coca-Cola China Ltd</t>
  </si>
  <si>
    <t>Coca-Cola China Ltd.</t>
  </si>
  <si>
    <t>KO Hong Kong Region Office</t>
  </si>
  <si>
    <t xml:space="preserve">979 King's Road Quarry Bay </t>
  </si>
  <si>
    <t>Americold</t>
  </si>
  <si>
    <t>302 North Frontage Road</t>
  </si>
  <si>
    <t>UNICOLD</t>
  </si>
  <si>
    <t>3140 UALENA STREET HONOLULU 96819</t>
  </si>
  <si>
    <t>Cutrale Citrus Juice Auburndal</t>
  </si>
  <si>
    <t>602 MCKEAN ST AUBURNDALE 33823-4070</t>
  </si>
  <si>
    <t>CCBCU Chattanooga</t>
  </si>
  <si>
    <t>4000 AMNICOLA HIGHWAY</t>
  </si>
  <si>
    <t>Country Pure Foods</t>
  </si>
  <si>
    <t>58 West Road</t>
  </si>
  <si>
    <t>MBV-CA</t>
  </si>
  <si>
    <t>2286 Stone Blvd. WEST SACRAMENTO 95691</t>
  </si>
  <si>
    <t>SSI - SUPER STORE INDUSTRIES</t>
  </si>
  <si>
    <t>2600 Spengler Way TURLOCK 95380</t>
  </si>
  <si>
    <t>CENTRAL FLORIDA FREEZER</t>
  </si>
  <si>
    <t>1801 Bradford Avenue LEESBURG 34748</t>
  </si>
  <si>
    <t>CHICAGO - NILES</t>
  </si>
  <si>
    <t>7400  N. Oak Park Avenue</t>
  </si>
  <si>
    <t>Flavor Ingred Supply</t>
  </si>
  <si>
    <t>Freight Services</t>
  </si>
  <si>
    <t>O-AT-KA Milk Product Co-op Inc</t>
  </si>
  <si>
    <t>700 Ellicott Street</t>
  </si>
  <si>
    <t>1226 North Olive Street ANAHEIM 92801</t>
  </si>
  <si>
    <t>US 0101 BOLINGBROOK 0524</t>
  </si>
  <si>
    <t>553 A S Joliet Road BOLINGBROOK 60440</t>
  </si>
  <si>
    <t>US 0101 Monmouth 0525</t>
  </si>
  <si>
    <t>Monmouth 61462</t>
  </si>
  <si>
    <t>US 0101 COPPELL 0526</t>
  </si>
  <si>
    <t>660 Fritz Drive - Door Dock 34 COPPELL 75019</t>
  </si>
  <si>
    <t>US 0101 EAGLE PASS 0527</t>
  </si>
  <si>
    <t>1793 Brown St. Bldg A-2 EAGLE PASS 78852</t>
  </si>
  <si>
    <t>AMCAN BEVERAGES INC</t>
  </si>
  <si>
    <t>1201 Commerce Blvd AMERICAN CANYON 94503</t>
  </si>
  <si>
    <t>Refresco - NJ</t>
  </si>
  <si>
    <t>92 N Main St. WHARTON 07885</t>
  </si>
  <si>
    <t>US 0101 Atlanta 0536</t>
  </si>
  <si>
    <t>US 0101 ATLANTA 0538</t>
  </si>
  <si>
    <t>US 0101 ATLANTA 0541</t>
  </si>
  <si>
    <t>Krier Foods, Inc.</t>
  </si>
  <si>
    <t>551 Krier Lane Random Lake 53075</t>
  </si>
  <si>
    <t>Union Beverage</t>
  </si>
  <si>
    <t>750 North Union Hillside 07205</t>
  </si>
  <si>
    <t>Refresco - OK</t>
  </si>
  <si>
    <t>1701 South Lee Street Ft. Gibson 74434</t>
  </si>
  <si>
    <t>MID FLORIDA FREEZER</t>
  </si>
  <si>
    <t>2560 W. Orange Blossom TRL APOPKA 32712</t>
  </si>
  <si>
    <t>Jacobson Companies - Chicago</t>
  </si>
  <si>
    <t>101 East Crossroads Pkwy</t>
  </si>
  <si>
    <t>LAGROU OPERATIONS</t>
  </si>
  <si>
    <t>1800 S. Wolf Road</t>
  </si>
  <si>
    <t>Saddle Creek (Leesburg FL)</t>
  </si>
  <si>
    <t>3610 W. Main Street</t>
  </si>
  <si>
    <t>JORIKI INC</t>
  </si>
  <si>
    <t>3431 Mcnicoll Ave SCARBOROUGH M1V 2V3</t>
  </si>
  <si>
    <t>TRENTON COLD STORAGE</t>
  </si>
  <si>
    <t>21 Albert St TRENTON K8V 4S4</t>
  </si>
  <si>
    <t>JORIKI WEST</t>
  </si>
  <si>
    <t>695 Derwent Way DELTA V3M 5P7</t>
  </si>
  <si>
    <t>IMPERIAL CHILLED JUICE INC</t>
  </si>
  <si>
    <t>299 Courtneypark Drive East MISSISSAUGA L5T 2T6</t>
  </si>
  <si>
    <t>885 Sandy Beach Road PICKERING L1W 3N6</t>
  </si>
  <si>
    <t>LEAHY-IPF</t>
  </si>
  <si>
    <t>#100 401 N. MAIN STREET ROSENDALE 54974</t>
  </si>
  <si>
    <t>Professional Packaging System</t>
  </si>
  <si>
    <t>2010 S Great SW PKWY</t>
  </si>
  <si>
    <t>Bay Cities Container Corp</t>
  </si>
  <si>
    <t>5138 Industry Ave PICO RIVERA 90660-2550</t>
  </si>
  <si>
    <t>YA YA FOODS CORP</t>
  </si>
  <si>
    <t>450 Kipling Avenue TORONTO M8Z 5E1</t>
  </si>
  <si>
    <t>Baton Rouge Coke Hot Fill</t>
  </si>
  <si>
    <t>9696 PLANK ROAD BATON ROUGE 70811</t>
  </si>
  <si>
    <t>SOYAWORLD INC</t>
  </si>
  <si>
    <t>511 Audley Blvd. DELTA V3M 5S5</t>
  </si>
  <si>
    <t>Transpackers</t>
  </si>
  <si>
    <t>4100 New Brunswick Ave Piscataway 08854</t>
  </si>
  <si>
    <t>Bellevue, WA PC</t>
  </si>
  <si>
    <t>1150 124TH Avenue NE BELLEVUE 98005</t>
  </si>
  <si>
    <t>CANADIAN DRY STORAGE LTD</t>
  </si>
  <si>
    <t>18351 McCartney Way RICHMOND V6W 0A1</t>
  </si>
  <si>
    <t>Atlanta Beverage Base</t>
  </si>
  <si>
    <t>Lineage Logistics-Thermal</t>
  </si>
  <si>
    <t>21700 Barton Road</t>
  </si>
  <si>
    <t>ANAHEIM WATER PLANT 0101</t>
  </si>
  <si>
    <t>2121 E. Winston Road ANAHEIM 92806</t>
  </si>
  <si>
    <t>GRAND PRAIRIE WATER PLANT 0101</t>
  </si>
  <si>
    <t>3405 Roy Orr Blvd. GRAND PRAIRIE 75050</t>
  </si>
  <si>
    <t>Bahrain Operating &amp; Capital</t>
  </si>
  <si>
    <t xml:space="preserve">Office Park Building Knowledge Village, Dubai </t>
  </si>
  <si>
    <t>TCCEC - Bahrain Branch</t>
  </si>
  <si>
    <t>CCISL Operating &amp; Capital</t>
  </si>
  <si>
    <t>1 Queen Caroline street London W6 9HQ</t>
  </si>
  <si>
    <t>GB CCISL OPEX</t>
  </si>
  <si>
    <t>CC International Sales</t>
  </si>
  <si>
    <t>BA 1185 Sarajevo 0729</t>
  </si>
  <si>
    <t>Mostarsko raskrsce b.b. Hadzic Sarajevo 71240</t>
  </si>
  <si>
    <t>BA OPEX</t>
  </si>
  <si>
    <t>Barlan B-H doo</t>
  </si>
  <si>
    <t>BA 1185 Sarajevo 0730</t>
  </si>
  <si>
    <t>AE 1005 Dubai 0739</t>
  </si>
  <si>
    <t>Office Park Building Dubai 501738</t>
  </si>
  <si>
    <t>US 1184 ATLANTA 0746</t>
  </si>
  <si>
    <t>284 Centennial Olympic Park D Atlanta 30313</t>
  </si>
  <si>
    <t>Coca-Cola Properties LLC</t>
  </si>
  <si>
    <t>Serb/Fyrom Operating &amp; Capital</t>
  </si>
  <si>
    <t>Batajnicki Drum 18 Belgrade-Zemun 11080</t>
  </si>
  <si>
    <t>RS BARLAN OPEX</t>
  </si>
  <si>
    <t>Barlan S&amp;M doo</t>
  </si>
  <si>
    <t>RS 1188 Belgrade-Zemun 0758</t>
  </si>
  <si>
    <t>ATLANTA BEVERAGE BASE PLANT</t>
  </si>
  <si>
    <t>1001 GREAT SOUTHWEST PARKWAY ATLANTA 30336</t>
  </si>
  <si>
    <t>ATLANTA CONSOLIDATED WAREHOUSE</t>
  </si>
  <si>
    <t>1080 SIX FLAGS RD., SW</t>
  </si>
  <si>
    <t>SIBIL s.r.l.</t>
  </si>
  <si>
    <t>IE 1200 Dublin 0789</t>
  </si>
  <si>
    <t>4th floor 24-26 city quay, D02 NY19 Dublin4 DUBLIN 2</t>
  </si>
  <si>
    <t>IE OPEX</t>
  </si>
  <si>
    <t>European Refreshments Unl</t>
  </si>
  <si>
    <t>SG 1645 Singapore 0797</t>
  </si>
  <si>
    <t>04-04/07 1 Harbourfront Avenue</t>
  </si>
  <si>
    <t>CCFEL Singapore</t>
  </si>
  <si>
    <t>INACT-CC Far East LtdSing</t>
  </si>
  <si>
    <t>Coca-Cola Southeast Asia, Inc.</t>
  </si>
  <si>
    <t xml:space="preserve">235 Dong Khoi Street, District Ho Chi Minh City </t>
  </si>
  <si>
    <t>CCSEA Vietnam</t>
  </si>
  <si>
    <t>CC SE Asia- Rep Office</t>
  </si>
  <si>
    <t>Coca-Cola Far East Ltd. Malays</t>
  </si>
  <si>
    <t>Unit 39-02 (East Wing), Q Sent Kuala Lumpur 50470</t>
  </si>
  <si>
    <t>CCFEL Malaysia</t>
  </si>
  <si>
    <t>CC Far East Ltd - Malaysi</t>
  </si>
  <si>
    <t>Turkey Trading Operating&amp;Capit</t>
  </si>
  <si>
    <t>Fahrettin Kerim Gokay Caddesi Altunizade - Istanbul 34620</t>
  </si>
  <si>
    <t>Turkey MPDST</t>
  </si>
  <si>
    <t>TZ 1249 DAR-ES-SALAAM 0845</t>
  </si>
  <si>
    <t xml:space="preserve">winyi R 2nd floor TAN House, A Dar-Es-Salaam </t>
  </si>
  <si>
    <t>Bev. Serv. Tanzania</t>
  </si>
  <si>
    <t>Beverage Services Tanzani</t>
  </si>
  <si>
    <t>TZ 1249 Dar-Es-Salaam 0846</t>
  </si>
  <si>
    <t>winyi R 2nd floor TAN House, A Dar-Es-Salaam 00000</t>
  </si>
  <si>
    <t>DE 1208 Berlin 0856</t>
  </si>
  <si>
    <t>DE APOLLINARIS</t>
  </si>
  <si>
    <t>Apollinaris Brands GmbH</t>
  </si>
  <si>
    <t>AT 1313 Vienna 0897</t>
  </si>
  <si>
    <t>AT ROMERQUELLE OPEX</t>
  </si>
  <si>
    <t>Römerquelle Trading GmbH</t>
  </si>
  <si>
    <t>FI 1328 Kerava 0902</t>
  </si>
  <si>
    <t>FI REFRESH PROD OPEX</t>
  </si>
  <si>
    <t>Refresh Products Finland</t>
  </si>
  <si>
    <t>DK 1329 Hellerup 0904</t>
  </si>
  <si>
    <t>Phillip Heymans Alle 17, 1 sal Hellerup 2900</t>
  </si>
  <si>
    <t>DK REFRESHMENT PROD</t>
  </si>
  <si>
    <t>Refresh Products Denmark</t>
  </si>
  <si>
    <t>THE COCA-COLA EXPORT CORP</t>
  </si>
  <si>
    <t>Kingray Karyal Road, Lahore 55150</t>
  </si>
  <si>
    <t>Pakistan Indirect</t>
  </si>
  <si>
    <t>Cyprus Juices T.L</t>
  </si>
  <si>
    <t>Office 1002, 10th floor, Nicol Limassol 3025</t>
  </si>
  <si>
    <t>CY OPEX</t>
  </si>
  <si>
    <t>CB Cyprus Juice Trading</t>
  </si>
  <si>
    <t>GB 1337 London 0925</t>
  </si>
  <si>
    <t>1 QUEEN CAROLINE STREET London W6 9HQ</t>
  </si>
  <si>
    <t>GB WATERSROBSON OPEX</t>
  </si>
  <si>
    <t>Waters &amp; Robson Limited</t>
  </si>
  <si>
    <t>EG 1612 Cairo 0932</t>
  </si>
  <si>
    <t>Nasr City, Eight District Cairo 11471</t>
  </si>
  <si>
    <t>CCWA  West Marketing</t>
  </si>
  <si>
    <t>AT 1313 Vienna 0934</t>
  </si>
  <si>
    <t>Coca-Cola India Foundation</t>
  </si>
  <si>
    <t>16th Floor One Horizon Center, Gurugram 122002</t>
  </si>
  <si>
    <t>CC India Foundation</t>
  </si>
  <si>
    <t>Coca-Cola India Foundatio</t>
  </si>
  <si>
    <t>Nuevas Bebidas Colombia</t>
  </si>
  <si>
    <t>CO 1345 Bogotá D.C. 0939</t>
  </si>
  <si>
    <t>16th Floor, One Horizon Center Gurugram 122002</t>
  </si>
  <si>
    <t>KZ 1731 Almaty 0944</t>
  </si>
  <si>
    <t>211 Gogol Street Almaty 050026</t>
  </si>
  <si>
    <t>Kazakhstan Opex/Capx</t>
  </si>
  <si>
    <t>CC CIS Srvc - Kazakhastan</t>
  </si>
  <si>
    <t>PACIFIC REFRESHMENTS PTE LTD</t>
  </si>
  <si>
    <t>1 Tuas Bay Drive Singapore 637557</t>
  </si>
  <si>
    <t>Pacific Refreshments Pte</t>
  </si>
  <si>
    <t>Singapore Indirect</t>
  </si>
  <si>
    <t>PACIFIC REFRESHMENTS I.M. FREI</t>
  </si>
  <si>
    <t>1 Tuas Bay Drive</t>
  </si>
  <si>
    <t>AO 1362 0963</t>
  </si>
  <si>
    <t xml:space="preserve">  </t>
  </si>
  <si>
    <t>Coca-Cola Svc Angola Ltda</t>
  </si>
  <si>
    <t>MU 1363 0964</t>
  </si>
  <si>
    <t>CC Indian Ocean Islands</t>
  </si>
  <si>
    <t>MU 1363  0966</t>
  </si>
  <si>
    <t>MU 1363 0967</t>
  </si>
  <si>
    <t>MU 1363  0970</t>
  </si>
  <si>
    <t>Ecuador New Beverages</t>
  </si>
  <si>
    <t>New Beverages Ecuador</t>
  </si>
  <si>
    <t>TR 1760 Altunizade - Ista 0980</t>
  </si>
  <si>
    <t>Fahrettin Kerim Gokay Caddesi Altunizade - Istanbul 34662</t>
  </si>
  <si>
    <t>Coca-Cola Southeast Asia Srvc</t>
  </si>
  <si>
    <t>214 Thainamthip Bldg (North Pa Khet laksi, Bangkok 10210</t>
  </si>
  <si>
    <t>CC SE Asia Svcs Co.</t>
  </si>
  <si>
    <t>CC SE Asia Services Co Lt</t>
  </si>
  <si>
    <t>ZW 1383 HARARE 0994</t>
  </si>
  <si>
    <t xml:space="preserve">1st Floor, Topaz Build Harare </t>
  </si>
  <si>
    <t>CC Central Africa</t>
  </si>
  <si>
    <t>CC Central Africa Pvt Ltd</t>
  </si>
  <si>
    <t>Moriyama Concentrate Plant</t>
  </si>
  <si>
    <t>49, Amura-Cho Moriyama 524-0035</t>
  </si>
  <si>
    <t>CC Japan Co., Ltd.</t>
  </si>
  <si>
    <t>Coca-Cola (Japan) Company</t>
  </si>
  <si>
    <t>No.B, 15 Daikokufuto, Tsurumi- YOKOHAMA 230-0054</t>
  </si>
  <si>
    <t>CCJC Log. Bev. Base</t>
  </si>
  <si>
    <t>Werk 1010 DE</t>
  </si>
  <si>
    <t>4-4-14 AOMI KOTO-KU 135-0064</t>
  </si>
  <si>
    <t>Einkaufs-Org.1000 DE</t>
  </si>
  <si>
    <t>The Coca-Cola Export Corp</t>
  </si>
  <si>
    <t>Werk 1020 DE</t>
  </si>
  <si>
    <t>2-18-3 Minato-machi</t>
  </si>
  <si>
    <t>JP 1626 Shibuya-ku 1035</t>
  </si>
  <si>
    <t>6-3, Shibuya 4-Chome</t>
  </si>
  <si>
    <t>CCJC-Bot Ope&amp;Oth-Cnf</t>
  </si>
  <si>
    <t>JP 1630 KOTOKU 1036</t>
  </si>
  <si>
    <t>4-4-14 AOMI</t>
  </si>
  <si>
    <t>CCT R&amp;D</t>
  </si>
  <si>
    <t>CC Tokyo R&amp;D, Ltd.</t>
  </si>
  <si>
    <t>Division 1210 FR</t>
  </si>
  <si>
    <t>123 All e des mimosas Lyon 69000</t>
  </si>
  <si>
    <t>Org. d'achat 1200 FR</t>
  </si>
  <si>
    <t>Division 1220 FR</t>
  </si>
  <si>
    <t>32 Rue des cigales Marseille 13000</t>
  </si>
  <si>
    <t>US 101 Atlanta 1309</t>
  </si>
  <si>
    <t>Farmer Brothers</t>
  </si>
  <si>
    <t>235 North Norwood Street</t>
  </si>
  <si>
    <t>采购组织 1300 CN</t>
  </si>
  <si>
    <t>Mother Parker Tea &amp; Coffee USA</t>
  </si>
  <si>
    <t>7800 Will Rogers Blvd. FORT WORTH 76140</t>
  </si>
  <si>
    <t>Damron Corp.</t>
  </si>
  <si>
    <t>4433 W. Ohio Street Chicago 60624</t>
  </si>
  <si>
    <t>工厂 1320 CN</t>
  </si>
  <si>
    <t>24 南京西路</t>
  </si>
  <si>
    <t>INACT-CN China</t>
  </si>
  <si>
    <t>Coca-Cola Papua New Guinea Ltd</t>
  </si>
  <si>
    <t>CHAMPION PARADE</t>
  </si>
  <si>
    <t>CC-PNG</t>
  </si>
  <si>
    <t>CC Papua New Guinea Ltd</t>
  </si>
  <si>
    <t>UG 1824 Kampala 1337</t>
  </si>
  <si>
    <t>Plot 588-592 Jinja Road</t>
  </si>
  <si>
    <t>ABC Limited</t>
  </si>
  <si>
    <t>Keringet</t>
  </si>
  <si>
    <t>Molo Nairobi 00506</t>
  </si>
  <si>
    <t>SOURCE LOGISTICS-LAREDO</t>
  </si>
  <si>
    <t>401 Logistics Blvd. LAREDO 78045-8918</t>
  </si>
  <si>
    <t>HP HOOD LLC</t>
  </si>
  <si>
    <t>160 HOOD WAY</t>
  </si>
  <si>
    <t>ACTIONPAK</t>
  </si>
  <si>
    <t>1600 River Ave. CAMDEN 08105</t>
  </si>
  <si>
    <t>SAFEWAY DENVER BEVERAGE CO</t>
  </si>
  <si>
    <t>6405 E. Stapleton Dr. DENVER 80216</t>
  </si>
  <si>
    <t>UNIX</t>
  </si>
  <si>
    <t>9 Minson Way MONTEBELLO 90640</t>
  </si>
  <si>
    <t>RC MOORE</t>
  </si>
  <si>
    <t>301 OAK ST PITTSTON 18640</t>
  </si>
  <si>
    <t>WYMORE TRANSFER CO</t>
  </si>
  <si>
    <t>15497 SE 125th Ct CLACKAMAS 97015</t>
  </si>
  <si>
    <t>LT 1850 Varena 1364</t>
  </si>
  <si>
    <t>Rudnios g.1</t>
  </si>
  <si>
    <t>LT OPEX</t>
  </si>
  <si>
    <t>Allied Beverages</t>
  </si>
  <si>
    <t>US 0101 ATLANTA 1410</t>
  </si>
  <si>
    <t>491 MARIETTA STREET ATLANTA 30313</t>
  </si>
  <si>
    <t>CA 1551 Toronto 1411</t>
  </si>
  <si>
    <t>335 King Street East Toronto M5A 1L1</t>
  </si>
  <si>
    <t>US 0101 ATLANTA 1412</t>
  </si>
  <si>
    <t>TAMPA FL PC</t>
  </si>
  <si>
    <t>1141 Hwy 301 S. Tampa 33619</t>
  </si>
  <si>
    <t>EE 1911 Tallinn 1414</t>
  </si>
  <si>
    <t>Mustamae tee 16, Tallinn 10617</t>
  </si>
  <si>
    <t>EE OPEX</t>
  </si>
  <si>
    <t>CC Balti Jookide AS</t>
  </si>
  <si>
    <t>Centro 1420 BR</t>
  </si>
  <si>
    <t>Via Anhanguera Km 18 KM 16</t>
  </si>
  <si>
    <t>Org. Compras 1400 BR</t>
  </si>
  <si>
    <t>ByB Brands Inc</t>
  </si>
  <si>
    <t>Celmark Int'l</t>
  </si>
  <si>
    <t>2600 Titan Row</t>
  </si>
  <si>
    <t>Refresco Tempe</t>
  </si>
  <si>
    <t>7303 S. Kyrene Road TEMPE 85283</t>
  </si>
  <si>
    <t>Langer</t>
  </si>
  <si>
    <t>16195 Stephens Street</t>
  </si>
  <si>
    <t>Beverage Capital</t>
  </si>
  <si>
    <t>401 E 30th street</t>
  </si>
  <si>
    <t>生産プラント 1510 JP</t>
  </si>
  <si>
    <t>大手町1000 東京 1000004</t>
  </si>
  <si>
    <t>購買組織 1500 JP</t>
  </si>
  <si>
    <t>RPSI</t>
  </si>
  <si>
    <t>Denman of CA</t>
  </si>
  <si>
    <t>8250 Industrial Avenue</t>
  </si>
  <si>
    <t>生産プラント 1520 JP</t>
  </si>
  <si>
    <t>大手町1100</t>
  </si>
  <si>
    <t>Mayer Bros  Barker - Ship</t>
  </si>
  <si>
    <t>7389 Lake road</t>
  </si>
  <si>
    <t>Mayer Bros  West Seneca - Prod</t>
  </si>
  <si>
    <t>3300 Transit Road</t>
  </si>
  <si>
    <t>Simm-Kee Inc.</t>
  </si>
  <si>
    <t>905 West Ostend Street</t>
  </si>
  <si>
    <t>CDS Ontario</t>
  </si>
  <si>
    <t>5400 Ontario Mills Parkway Ste</t>
  </si>
  <si>
    <t>Niagara Bottling</t>
  </si>
  <si>
    <t>2560 Philadelphia Street</t>
  </si>
  <si>
    <t>US 0101 Appleton 1585</t>
  </si>
  <si>
    <t>N700 County Trunk CB Appleton 54914</t>
  </si>
  <si>
    <t>Завод 1610 RU</t>
  </si>
  <si>
    <t>пр.Ленина 16 Москва 115054</t>
  </si>
  <si>
    <t>ЗакупОрг 1600 RU</t>
  </si>
  <si>
    <t>RU Russian Federation</t>
  </si>
  <si>
    <t>Завод 1620 RU</t>
  </si>
  <si>
    <t>пр.Ленина 16</t>
  </si>
  <si>
    <t>Produktionsenhet 1 SE</t>
  </si>
  <si>
    <t>Gustavlundv gen 151 Stockholm 102 27</t>
  </si>
  <si>
    <t>Inköpsorg 1900 SE</t>
  </si>
  <si>
    <t>SE Sweden</t>
  </si>
  <si>
    <t>Produktionsenhet 2 SE</t>
  </si>
  <si>
    <t>Gustavlundvägen 151</t>
  </si>
  <si>
    <t>LK 1404 Colombo 2009</t>
  </si>
  <si>
    <t xml:space="preserve">Level 26, East Tower, World Tr Colombo </t>
  </si>
  <si>
    <t>CC Sri Lanka Pvt Ltd</t>
  </si>
  <si>
    <t>CC Bangladesh Ltd</t>
  </si>
  <si>
    <t>Coca-Cola Sri Lanka Pvt. Ltd.</t>
  </si>
  <si>
    <t xml:space="preserve">26 East Tower, World Trade Cen Echelon Square, Colombo 1 </t>
  </si>
  <si>
    <t>Coca-Cola Bangladesh Limited</t>
  </si>
  <si>
    <t>6/A North Avenue C/A Gulshan C Gulshan Circle-2, Dhaka 1212</t>
  </si>
  <si>
    <t>Coca-Cola Bangladesh Ltd</t>
  </si>
  <si>
    <t>Plot No-5 New Industrial Area Bhopal 462046</t>
  </si>
  <si>
    <t>9th Floor, Tower-A Bangalore 560092</t>
  </si>
  <si>
    <t>DOEHLER NORTH AMERICA</t>
  </si>
  <si>
    <t>#100 400 HIGH POINT RD CARTERSVILLE 30120</t>
  </si>
  <si>
    <t>MILWAUKEE WI PC</t>
  </si>
  <si>
    <t>11800 W. Brown Deer Rd. MILWAUKEE 53224</t>
  </si>
  <si>
    <t>Coca-Cola Limited</t>
  </si>
  <si>
    <t xml:space="preserve">JUNCTION CITY TOWER,SUITE NO.1 PABEDAN TOWNSHIP, Yangon </t>
  </si>
  <si>
    <t>CC Myanmar Ltd</t>
  </si>
  <si>
    <t>GOKNUR GIDA MAD ITH IHR TIC VE</t>
  </si>
  <si>
    <t>FAHRETTIN ALTAY CAD. NO 48 Ankara 06130</t>
  </si>
  <si>
    <t>Aseptic Solutions</t>
  </si>
  <si>
    <t>484 Alcoa Circle</t>
  </si>
  <si>
    <t>FAIRLIFE LLC</t>
  </si>
  <si>
    <t>999 W. Randall Street COOPERSVILLE 49404</t>
  </si>
  <si>
    <t>BU OWNED FRANCE</t>
  </si>
  <si>
    <t xml:space="preserve">Signes </t>
  </si>
  <si>
    <t>CCS France</t>
  </si>
  <si>
    <t>VEB</t>
  </si>
  <si>
    <t>One Coca-Cola Plaza Atlanta 30313</t>
  </si>
  <si>
    <t>Gyár 2110</t>
  </si>
  <si>
    <t>Ipari  t 16 Budapest 1124</t>
  </si>
  <si>
    <t>Besz. szerv. 2100 HU</t>
  </si>
  <si>
    <t>HU Hungary</t>
  </si>
  <si>
    <t>Gyár 2120</t>
  </si>
  <si>
    <t>Ipari út 02</t>
  </si>
  <si>
    <t>Werk 2210 CH</t>
  </si>
  <si>
    <t>Leugenestr. 6 Biel 2504</t>
  </si>
  <si>
    <t>Einkaufs-Org.2200 CH</t>
  </si>
  <si>
    <t>CH Switzerland</t>
  </si>
  <si>
    <t>Werk 2220 CH</t>
  </si>
  <si>
    <t>Leugenestr. 6</t>
  </si>
  <si>
    <t>Stabilimento 2310 IT</t>
  </si>
  <si>
    <t>Via Monza 7 Vimercate 20059</t>
  </si>
  <si>
    <t>Org.Acquisti 2300 IT</t>
  </si>
  <si>
    <t>IT Italy</t>
  </si>
  <si>
    <t>Stabilimento 2320 IT</t>
  </si>
  <si>
    <t>Via Monza 7</t>
  </si>
  <si>
    <t>Zakład 2610 PL</t>
  </si>
  <si>
    <t>Domaniewska 41 Domaniewsk Warszawa 00-950</t>
  </si>
  <si>
    <t>Lok.DziaZaop 2600 PL</t>
  </si>
  <si>
    <t>PL Poland</t>
  </si>
  <si>
    <t>Zakład 2620 PL</t>
  </si>
  <si>
    <t>Domaniewska 41 Domaniewsk</t>
  </si>
  <si>
    <t>Závod 1 SK</t>
  </si>
  <si>
    <t>Plyn rensk  7 Bratislava 821 09</t>
  </si>
  <si>
    <t>Nákupná org. 2700 SK</t>
  </si>
  <si>
    <t>SK Slovakia</t>
  </si>
  <si>
    <t>US 0101 SAN JOSE 2714</t>
  </si>
  <si>
    <t>SAN JOSE 95134</t>
  </si>
  <si>
    <t>Závod 2 SK</t>
  </si>
  <si>
    <t>Plynárenská 7</t>
  </si>
  <si>
    <t>unit.log. 2810 RO</t>
  </si>
  <si>
    <t>Strada Primaverii no 2, Sector Bucharest 030414</t>
  </si>
  <si>
    <t>Dep. aprov. 2800 RO</t>
  </si>
  <si>
    <t>RO Romania</t>
  </si>
  <si>
    <t>unit.log. 2820 RO</t>
  </si>
  <si>
    <t>Strada Primaverii no 2, Sector</t>
  </si>
  <si>
    <t>BU Owned UK</t>
  </si>
  <si>
    <t>FS Dispensers Intern</t>
  </si>
  <si>
    <t>Fabrik 3210  DK</t>
  </si>
  <si>
    <t>Lautrupsgade 11 K benhavn 2100</t>
  </si>
  <si>
    <t>Einkaufsorg. 3200 DK</t>
  </si>
  <si>
    <t>DK Denmark</t>
  </si>
  <si>
    <t>Fabrik 3220 DK</t>
  </si>
  <si>
    <t>Lautrupsgade 11</t>
  </si>
  <si>
    <t>مصنع 3310 AE</t>
  </si>
  <si>
    <t xml:space="preserve">100 Sheikh Zayed Road Dubai </t>
  </si>
  <si>
    <t>منظمة الشراء AE 3300</t>
  </si>
  <si>
    <t>AE United Arab Emirates</t>
  </si>
  <si>
    <t>مصنع 3320 AE</t>
  </si>
  <si>
    <t>101 Sheikh Zayed Road</t>
  </si>
  <si>
    <t>Εγκατάσταση 3410 GR</t>
  </si>
  <si>
    <t>Ελληνίδων 20 Athens 17564</t>
  </si>
  <si>
    <t>Οργ. Προμηθ. 3400 GR</t>
  </si>
  <si>
    <t>GR Greece</t>
  </si>
  <si>
    <t>Εγκατάσταση 3420 GR</t>
  </si>
  <si>
    <t>Ελληνίδων 20</t>
  </si>
  <si>
    <t>Vestiging 3710 NL</t>
  </si>
  <si>
    <t>Amerikastraat 10 Den Bosch 5203 DG</t>
  </si>
  <si>
    <t>Inkoop org. 3700 NL</t>
  </si>
  <si>
    <t>NL Netherlands</t>
  </si>
  <si>
    <t>Vestiging 3720 NL</t>
  </si>
  <si>
    <t>Amerikastraat 10</t>
  </si>
  <si>
    <t>Завод 3810 BG</t>
  </si>
  <si>
    <t>Tzar Boris III 16 Sofia 1600</t>
  </si>
  <si>
    <t>снабдит.орг. 3800 BG</t>
  </si>
  <si>
    <t>BG Bulgaria</t>
  </si>
  <si>
    <t>Завод 3820 BG</t>
  </si>
  <si>
    <t>Tzar Boris III 16</t>
  </si>
  <si>
    <t>Werk 3910 AT</t>
  </si>
  <si>
    <t>Gesch ftsstra en 16 Wien 1010</t>
  </si>
  <si>
    <t>Einkaufs-Org.3900 AT</t>
  </si>
  <si>
    <t>AT Austria</t>
  </si>
  <si>
    <t>Werk 3920 AT</t>
  </si>
  <si>
    <t>Geschäftsstraßen 16</t>
  </si>
  <si>
    <t>Pogon 4010 HR</t>
  </si>
  <si>
    <t>Prilaz baruna Filipovi a 16 Zagreb 10000</t>
  </si>
  <si>
    <t>Org. nabave 4000 HR</t>
  </si>
  <si>
    <t>HR Croatia</t>
  </si>
  <si>
    <t>Pogon 4020 HR</t>
  </si>
  <si>
    <t>Prilaz baruna Filipoviæa 16</t>
  </si>
  <si>
    <t>TW 1386 Taipeh city 4074</t>
  </si>
  <si>
    <t>13F, No.97, Songren Road., Taipei City 110</t>
  </si>
  <si>
    <t>CCCL Taiwan Branch</t>
  </si>
  <si>
    <t>CCCL - Taiwan Branch</t>
  </si>
  <si>
    <t>플랜트 4310 KR</t>
  </si>
  <si>
    <t>13-22 구로구 구로동</t>
  </si>
  <si>
    <t>구매조직 4300 KR</t>
  </si>
  <si>
    <t>KR Korea</t>
  </si>
  <si>
    <t>플랜트 4320 KR</t>
  </si>
  <si>
    <t>22-15 남구 삼산동</t>
  </si>
  <si>
    <t>Fabrikk  4410 NO</t>
  </si>
  <si>
    <t>Weidemannsgt. 12 8 Oslo 0154</t>
  </si>
  <si>
    <t>Innkjøpsorg. 4400 NO</t>
  </si>
  <si>
    <t>NO Norway</t>
  </si>
  <si>
    <t>Fabrikk 4420 NO</t>
  </si>
  <si>
    <t>Bjørneboes gate 15 15</t>
  </si>
  <si>
    <t>Toimipiste 4510 FI</t>
  </si>
  <si>
    <t>Keskuskatu 16 Helsinki 00100</t>
  </si>
  <si>
    <t>Osto-org. 4500 FI</t>
  </si>
  <si>
    <t>FI Finland</t>
  </si>
  <si>
    <t>Toimipiste 4520 FI</t>
  </si>
  <si>
    <t>Keskuskatu 16</t>
  </si>
  <si>
    <t>אתר IL 4710</t>
  </si>
  <si>
    <t>ארגון רכש IL 4700</t>
  </si>
  <si>
    <t>IL Israel</t>
  </si>
  <si>
    <t>אתר IL 4720</t>
  </si>
  <si>
    <t>Division 4910 MA</t>
  </si>
  <si>
    <t>123 Bourgogne Ouest Casablanca 20000</t>
  </si>
  <si>
    <t>Org. d'achat 4900 MA</t>
  </si>
  <si>
    <t>MA Morocco</t>
  </si>
  <si>
    <t>Division 4920 MA</t>
  </si>
  <si>
    <t>31 Rue des cigales Rabat 13000</t>
  </si>
  <si>
    <t>MX 1373 Mexico 5002</t>
  </si>
  <si>
    <t>Mundet MEX Division</t>
  </si>
  <si>
    <t>Promotora Marcas Nacional</t>
  </si>
  <si>
    <t>MX 1373 Mexico 5003</t>
  </si>
  <si>
    <t>Batajnicki Drum 18 BEOGRAD 11080</t>
  </si>
  <si>
    <t>PG 1394 Port Moresby 5005</t>
  </si>
  <si>
    <t>PACIFIC REFRESHMENTS DPS</t>
  </si>
  <si>
    <t>CI 1398 ABIDJAN 5017</t>
  </si>
  <si>
    <t>Blvd Botreau Roussel Crrae-Umo Abidjan 04 BP 483</t>
  </si>
  <si>
    <t>CCEC-Côte d'Ivoire Rep Of</t>
  </si>
  <si>
    <t>Coca-Cola India PrivateLimited</t>
  </si>
  <si>
    <t>E-94,MIDC Pune 413133</t>
  </si>
  <si>
    <t>Dean Foods, LLC</t>
  </si>
  <si>
    <t>1188 Lincoln Str SW Lemars 51031</t>
  </si>
  <si>
    <t>MX 1433 Mexico 5021</t>
  </si>
  <si>
    <t>Ruben Dario No. 115  11580</t>
  </si>
  <si>
    <t>Milkco</t>
  </si>
  <si>
    <t>KOLACT</t>
  </si>
  <si>
    <t>Coffee Service Shop - Jet Park</t>
  </si>
  <si>
    <t>67 Rudo Nell Boksburg 1459</t>
  </si>
  <si>
    <t>Waveside</t>
  </si>
  <si>
    <t>Chaywa Coffee Company</t>
  </si>
  <si>
    <t>South Africa Indirec</t>
  </si>
  <si>
    <t>McDonald</t>
  </si>
  <si>
    <t>9 Junction Avenue, Parktown Johannesburg 2193</t>
  </si>
  <si>
    <t>Coca-Cola Allied Beverage</t>
  </si>
  <si>
    <t>Valpre - Valaqua</t>
  </si>
  <si>
    <t>Erf 1 Portion 25 Lagerspoort Heidelburg 1441</t>
  </si>
  <si>
    <t>Valaqua (Pty) Ltd</t>
  </si>
  <si>
    <t>PREMIUM WATERS LAS VEGAS</t>
  </si>
  <si>
    <t>3355 N. LAMB BLVD LAS VEGAS 89115</t>
  </si>
  <si>
    <t>SOURCE LOGISTICS - PICO RIVERA</t>
  </si>
  <si>
    <t>4700 Gregg Rd. PICO RIVERA 90660</t>
  </si>
  <si>
    <t>Sunland Logistics Solutions</t>
  </si>
  <si>
    <t>915 Victor Hill Rd GREER 29651</t>
  </si>
  <si>
    <t>US 1184 Lake Buena Vista 5064</t>
  </si>
  <si>
    <t>1512 E. Buena Vista Dr. Lake Buena Vista 32830</t>
  </si>
  <si>
    <t>HP HOOD - CA</t>
  </si>
  <si>
    <t>8340 Belvedere Ave.</t>
  </si>
  <si>
    <t>WESTERN GROUP PACKAGING</t>
  </si>
  <si>
    <t>3330 E. Gowan Rd. NORTH LAS VEGAS 89030</t>
  </si>
  <si>
    <t>Dubai Operating &amp; Capital</t>
  </si>
  <si>
    <t xml:space="preserve">4th Floor, Block B, Office Par Dubai </t>
  </si>
  <si>
    <t>TCCEC - Dubai Branch</t>
  </si>
  <si>
    <t>CA 1551 Brampton 5102</t>
  </si>
  <si>
    <t>30 Hedgedale Rd Brampton L6T 5L2</t>
  </si>
  <si>
    <t>CCL Virtual P.Org</t>
  </si>
  <si>
    <t>POWER PKG - GR PRAIRIE</t>
  </si>
  <si>
    <t>803 W. NORTH CARRIER PKWY. GRAND PRAIRIE 75050</t>
  </si>
  <si>
    <t>CHINO WAREHOUSE</t>
  </si>
  <si>
    <t>14326 Monte Vista Ave.</t>
  </si>
  <si>
    <t>(REC) ADES</t>
  </si>
  <si>
    <t>Av. Prefeito Olavo Gomes de Ol</t>
  </si>
  <si>
    <t>Purch. Org. 5100 ID</t>
  </si>
  <si>
    <t>RS 1853 BEOGRAD 5114</t>
  </si>
  <si>
    <t>RS OPEX</t>
  </si>
  <si>
    <t>Allied Bevg Adriatic doo</t>
  </si>
  <si>
    <t>Americold Tampa</t>
  </si>
  <si>
    <t>6815 MAPLE LANE TAMPA 33610</t>
  </si>
  <si>
    <t>E-94, MIDC, Pune 413133</t>
  </si>
  <si>
    <t>IN 1158 Greater Noida 5142</t>
  </si>
  <si>
    <t>2B/1 ECOTECH III, UDYOG KENDRA Greater Noida 201306</t>
  </si>
  <si>
    <t>NorAm Cold Storage</t>
  </si>
  <si>
    <t>801 6th Str SW LeMars 51031</t>
  </si>
  <si>
    <t>Coca-cola HU Service, Zala WH</t>
  </si>
  <si>
    <t>Sziv u, 17</t>
  </si>
  <si>
    <t>PRPL - Group DME</t>
  </si>
  <si>
    <t>04-04/07 1 Harbourfront Avenue Singapore 098632</t>
  </si>
  <si>
    <t>VE 1914 Caracas 5156</t>
  </si>
  <si>
    <t xml:space="preserve">Avenida Principal de los Ruice Caracas </t>
  </si>
  <si>
    <t>Coca-Cola Servicios de VZ</t>
  </si>
  <si>
    <t>Tenepalli Village, Near Rangam Puthalapattu Mandal ,Chit 517124</t>
  </si>
  <si>
    <t>INTERCHANGE GROUP</t>
  </si>
  <si>
    <t>443 South Oak Lane LYNDHURST 22952</t>
  </si>
  <si>
    <t>IN 1158 Gauwhati 5170</t>
  </si>
  <si>
    <t>NH37, BETKUCHI Gauwhati 781034</t>
  </si>
  <si>
    <t>Plot no 460, HSIIDC Industrial Saha, Ambala 133104</t>
  </si>
  <si>
    <t>BAY LOGISTICS</t>
  </si>
  <si>
    <t>1202 E. Pontaluna Rd, SPRING LAKE 49456</t>
  </si>
  <si>
    <t>Coca-Cola Asia Pacific Pte Ltd</t>
  </si>
  <si>
    <t>#04-04/07 1 Harbourfront Avenu Singapore 098632</t>
  </si>
  <si>
    <t>Coca-Cola Asia PacificPte</t>
  </si>
  <si>
    <t>CC Asia Pacific P/L</t>
  </si>
  <si>
    <t>Portugal Operating &amp; Captial</t>
  </si>
  <si>
    <t>Largo de Sao Carlos 3 Lisbon 1200-410</t>
  </si>
  <si>
    <t>Portugal-OPEX&amp;FA</t>
  </si>
  <si>
    <t>Sociedade de Servicos</t>
  </si>
  <si>
    <t>ENFIELD WAREHOUSE</t>
  </si>
  <si>
    <t>100 Print Shop Rd. ENFIELD 06082</t>
  </si>
  <si>
    <t>APOPKA LOGISTICS CENTER</t>
  </si>
  <si>
    <t>3102 SHELBY INDUSTRIAL DR. APOPKA 32703</t>
  </si>
  <si>
    <t>Coca-Cola Algerie</t>
  </si>
  <si>
    <t>Alg rie Algeria Business Cente Algiers 16000</t>
  </si>
  <si>
    <t>Algeria Indirect</t>
  </si>
  <si>
    <t>EURL Beverage Services</t>
  </si>
  <si>
    <t>Niagara Hazleton</t>
  </si>
  <si>
    <t>100 Timberline Drive Hazle Township 18202</t>
  </si>
  <si>
    <t>NIAGARA DALLAS 2</t>
  </si>
  <si>
    <t>4800 Langdon Rd</t>
  </si>
  <si>
    <t>NIAGARA RIALTO</t>
  </si>
  <si>
    <t>1401 Alder Ave. RIALTO 92376</t>
  </si>
  <si>
    <t>NIAGARA KANSAS CITY</t>
  </si>
  <si>
    <t>4000 E. 149th Str.</t>
  </si>
  <si>
    <t>PEACE RIVER CITRUS-BARTOW</t>
  </si>
  <si>
    <t>1805 E. CLOWER STR. BARTOW 33830</t>
  </si>
  <si>
    <t>NIAGARA MESA</t>
  </si>
  <si>
    <t>3453 S. 96th Str. MESA 85212</t>
  </si>
  <si>
    <t>Fairlife Goodyear</t>
  </si>
  <si>
    <t>3100 N Cotton Lane</t>
  </si>
  <si>
    <t>Bay Logistics West</t>
  </si>
  <si>
    <t>291 East Buckeye Rd Phoenix 85004</t>
  </si>
  <si>
    <t>Columbian Logistics</t>
  </si>
  <si>
    <t>900 Hall St SW Grand Rapids 49503</t>
  </si>
  <si>
    <t>Bettaway Logistics</t>
  </si>
  <si>
    <t>21 Constitution Ave</t>
  </si>
  <si>
    <t>Gladiator Worldwide</t>
  </si>
  <si>
    <t>670 S 91st Ave</t>
  </si>
  <si>
    <t>Coca-Cola Kazakhstan LLP</t>
  </si>
  <si>
    <t>97, Samal-2 Micro District, 16 AUTAUGAVILLE 050051</t>
  </si>
  <si>
    <t>KZ 1919 Almaty 5219</t>
  </si>
  <si>
    <t>97, Samal-2 Micro District, 16 Almaty 050051</t>
  </si>
  <si>
    <t>Kollaras &amp; Co Pty Limited</t>
  </si>
  <si>
    <t>9 Durgadin Drive,Albion Park R  2527</t>
  </si>
  <si>
    <t>Southerly Change Drinks P</t>
  </si>
  <si>
    <t>PROSTAR PACKAGING</t>
  </si>
  <si>
    <t>1091 Arnold Rd</t>
  </si>
  <si>
    <t>McClellan Park US Cold</t>
  </si>
  <si>
    <t>3936 Dudley Blvd.</t>
  </si>
  <si>
    <t>AU 1908 SCD 5223</t>
  </si>
  <si>
    <t>Level 9,40 Mount Street North Sydney, 2060</t>
  </si>
  <si>
    <t>Refresco Paw Paw</t>
  </si>
  <si>
    <t>38279 Red Arrow Highway West</t>
  </si>
  <si>
    <t>Canada-FIS</t>
  </si>
  <si>
    <t>Canada-Freight srvs</t>
  </si>
  <si>
    <t>Refresco Waco</t>
  </si>
  <si>
    <t>Refresco Truesdale</t>
  </si>
  <si>
    <t>1410 E Veterans Memorial Pkwy WARRENTON 63383</t>
  </si>
  <si>
    <t>Americold Mansfield</t>
  </si>
  <si>
    <t>1212 Antler Dr Mansfield 76063</t>
  </si>
  <si>
    <t>Onelsp LLC</t>
  </si>
  <si>
    <t>3450 N. Lamb Blvd. Las Vegas 89115</t>
  </si>
  <si>
    <t>Joriki Pittston</t>
  </si>
  <si>
    <t>575 Research Drive Pittston 18640</t>
  </si>
  <si>
    <t>Americold Allentown</t>
  </si>
  <si>
    <t>7150 Ambassador Dr.</t>
  </si>
  <si>
    <t>RLS Hutt</t>
  </si>
  <si>
    <t>2966 Highland Drive Hudsonville 49426</t>
  </si>
  <si>
    <t>Berner Food and Beverage</t>
  </si>
  <si>
    <t>5778 Baxter Rd Rockford 61109</t>
  </si>
  <si>
    <t>Citrosuco North America</t>
  </si>
  <si>
    <t>State Rd 60 E Lake Wales 33898</t>
  </si>
  <si>
    <t>Purolator</t>
  </si>
  <si>
    <t>6660 Millcreek Dr. Mississauga L5N 8B3</t>
  </si>
  <si>
    <t>Classic Transportation &amp; Whsng</t>
  </si>
  <si>
    <t>5357 52nd St SE Grand Rapids 49512</t>
  </si>
  <si>
    <t>Refresco Greendale</t>
  </si>
  <si>
    <t>2000 Schenley Pl Greendale 47025</t>
  </si>
  <si>
    <t>Niagara Stockton 4</t>
  </si>
  <si>
    <t>4800 Logistics Dr Stockton 95215</t>
  </si>
  <si>
    <t>Fresh Brew Group USA</t>
  </si>
  <si>
    <t>11600 Big John St. Houston 77038</t>
  </si>
  <si>
    <t>Belarus Operating &amp; Capital</t>
  </si>
  <si>
    <t>Internazionalnaya Str 36,1 Minsk 220030</t>
  </si>
  <si>
    <t>CC Soft Drinks Cons Belar</t>
  </si>
  <si>
    <t>Porter Logistics</t>
  </si>
  <si>
    <t>605 Selig Drive SW Suite F</t>
  </si>
  <si>
    <t>MOUNTAINTOP BEVERAGE</t>
  </si>
  <si>
    <t>6000 Rail St. MORGANTOWN 26501-7898</t>
  </si>
  <si>
    <t>All Temp Storage</t>
  </si>
  <si>
    <t>625 W. Bridgers Ave. Auburndale 33823-3103</t>
  </si>
  <si>
    <t>Croatia Marketing</t>
  </si>
  <si>
    <t>Coca-Cola Adria d.o.o</t>
  </si>
  <si>
    <t>Croatia Operating &amp; Capital</t>
  </si>
  <si>
    <t>Refresco Sittard</t>
  </si>
  <si>
    <t>Gasthuisgraaf 9 Sittard 6136 KS</t>
  </si>
  <si>
    <t>CC Holdings BV NL</t>
  </si>
  <si>
    <t>Don's Cold Storage</t>
  </si>
  <si>
    <t>2316 South Hall Street WEBB CITY 64870</t>
  </si>
  <si>
    <t>Wavepoint Robert's Whse</t>
  </si>
  <si>
    <t>196 Newton Street Fredonia 14063</t>
  </si>
  <si>
    <t>Cardiff</t>
  </si>
  <si>
    <t>2300 Discovery Drive LONDON N6M 0C6</t>
  </si>
  <si>
    <t>JM Rapp Breinigsville</t>
  </si>
  <si>
    <t>250 Boulder Drive</t>
  </si>
  <si>
    <t>Cold-Link Auburndale</t>
  </si>
  <si>
    <t>701 McKean St. Auburndale 33823</t>
  </si>
  <si>
    <t>Global Ventures</t>
  </si>
  <si>
    <t>Coca-Cola Holdings Ltd -</t>
  </si>
  <si>
    <t>Americold Grand Prairie</t>
  </si>
  <si>
    <t>1131 Avenue T GRAND PRAIRIE 75050</t>
  </si>
  <si>
    <t>GB 1666 Adez for Costa</t>
  </si>
  <si>
    <t>GB 1666 Adez</t>
  </si>
  <si>
    <t>2990 Olympic Industrial Drive ATLANTA 30339</t>
  </si>
  <si>
    <t>International Refreshments (In</t>
  </si>
  <si>
    <t>B400, Arman Logi. Park-Bavla Ahmedabad 382220</t>
  </si>
  <si>
    <t>Int'l Refresh (India) Pvt</t>
  </si>
  <si>
    <t>Apopka Corp Lab</t>
  </si>
  <si>
    <t>2501 W. Orange Avenue APOPKA 32703</t>
  </si>
  <si>
    <t>654 Mu oz Rivera Ave, Ste 1901 San Juan 00918</t>
  </si>
  <si>
    <t>TCCC - Puerto Rico Branch</t>
  </si>
  <si>
    <t>工厂 1</t>
  </si>
  <si>
    <t>12 南京西路</t>
  </si>
  <si>
    <t>采购组织 6300 TW</t>
  </si>
  <si>
    <t>TW Taiwan</t>
  </si>
  <si>
    <t>工厂 2</t>
  </si>
  <si>
    <t>Завод 6510   UA</t>
  </si>
  <si>
    <t>1 16 5 Димитрівська</t>
  </si>
  <si>
    <t>закуп. орг. 6500 UA</t>
  </si>
  <si>
    <t>UA Ukraine</t>
  </si>
  <si>
    <t>Завод 6520 UA</t>
  </si>
  <si>
    <t>โรงงาน 6810 TH</t>
  </si>
  <si>
    <t>16 บางนาตราด กม</t>
  </si>
  <si>
    <t>องค์กรจัดซื้ 6800 TH</t>
  </si>
  <si>
    <t>TH Thailand</t>
  </si>
  <si>
    <t>โรงงาน 6820 TH</t>
  </si>
  <si>
    <t>161 หมู่ 1 ต.ตาสิทธิ์ อ.ปลว</t>
  </si>
  <si>
    <t>Brazil Regional</t>
  </si>
  <si>
    <t>REGION</t>
  </si>
  <si>
    <t>GL</t>
  </si>
  <si>
    <t>COST CENTER (OPEX) :</t>
  </si>
  <si>
    <t>PURCHASE ORDER - DETAILS</t>
  </si>
  <si>
    <t>DELIVERY FREQUENCY :</t>
  </si>
  <si>
    <t>WBS NUMBER (CAPEX) :</t>
  </si>
  <si>
    <r>
      <t xml:space="preserve">VENDOR CONTACT EMAIL ADDRESS </t>
    </r>
    <r>
      <rPr>
        <b/>
        <sz val="8"/>
        <color theme="1"/>
        <rFont val="Cambria"/>
        <family val="1"/>
      </rPr>
      <t>⬇️</t>
    </r>
  </si>
  <si>
    <r>
      <t xml:space="preserve">VENDOR NAME/COMPANY NAME </t>
    </r>
    <r>
      <rPr>
        <b/>
        <sz val="8"/>
        <color theme="1"/>
        <rFont val="Cambria"/>
        <family val="1"/>
      </rPr>
      <t>⬇️</t>
    </r>
  </si>
  <si>
    <r>
      <t xml:space="preserve">DELIVERY ADDRESS </t>
    </r>
    <r>
      <rPr>
        <b/>
        <sz val="8"/>
        <color theme="1"/>
        <rFont val="Cambria"/>
        <family val="1"/>
      </rPr>
      <t>⬇️</t>
    </r>
  </si>
  <si>
    <r>
      <t xml:space="preserve">REQUESTOR NAME </t>
    </r>
    <r>
      <rPr>
        <b/>
        <sz val="8"/>
        <color theme="1"/>
        <rFont val="Cambria"/>
        <family val="1"/>
      </rPr>
      <t>⬇️</t>
    </r>
  </si>
  <si>
    <r>
      <t xml:space="preserve">CURRENCY </t>
    </r>
    <r>
      <rPr>
        <b/>
        <sz val="8"/>
        <color theme="1"/>
        <rFont val="Cambria"/>
        <family val="1"/>
      </rPr>
      <t>⬇️</t>
    </r>
  </si>
  <si>
    <r>
      <t xml:space="preserve">PURCHASE ORDER TITLE </t>
    </r>
    <r>
      <rPr>
        <b/>
        <sz val="8"/>
        <color theme="1"/>
        <rFont val="Cambria"/>
        <family val="1"/>
      </rPr>
      <t>⬇️</t>
    </r>
  </si>
  <si>
    <r>
      <rPr>
        <b/>
        <sz val="10"/>
        <color rgb="FFFF0000"/>
        <rFont val="Amasis MT Pro Light"/>
        <family val="1"/>
      </rPr>
      <t>Reminder:</t>
    </r>
    <r>
      <rPr>
        <sz val="10"/>
        <color rgb="FFFF0000"/>
        <rFont val="Amasis MT Pro Light"/>
        <family val="1"/>
      </rPr>
      <t xml:space="preserve"> </t>
    </r>
    <r>
      <rPr>
        <sz val="10"/>
        <color theme="1"/>
        <rFont val="Amasis MT Pro Light"/>
        <family val="1"/>
      </rPr>
      <t>Team Kindly Provide all the details below incomplete details we cannot proceed to P/Pal</t>
    </r>
  </si>
  <si>
    <t>HOW ARE YOU PAYING?</t>
  </si>
  <si>
    <t>Other</t>
  </si>
  <si>
    <t>NO OF TIME</t>
  </si>
  <si>
    <t>COST CENTER</t>
  </si>
  <si>
    <t>TOTAL</t>
  </si>
  <si>
    <t>PO VALUE</t>
  </si>
  <si>
    <t>DATE REQUEST</t>
  </si>
  <si>
    <t>Supplies Used General Office</t>
  </si>
  <si>
    <t>WBS GL CODE</t>
  </si>
  <si>
    <t>COST CENTER GL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</si>
</sst>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[$-409]mmmm\ d\,\ yyyy;@"/>
  </numFmts>
  <fonts count="3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sz val="20"/>
      <color rgb="FF000000"/>
      <name val="Aptos Narrow"/>
      <family val="2"/>
    </font>
    <font>
      <b/>
      <sz val="8"/>
      <color rgb="FFFFFFFF"/>
      <name val="Arial Narrow"/>
      <family val="2"/>
    </font>
    <font>
      <b/>
      <sz val="10"/>
      <color theme="0"/>
      <name val="Amasis MT Pro Black"/>
      <family val="1"/>
    </font>
    <font>
      <sz val="9"/>
      <color indexed="81"/>
      <name val="Aptos"/>
      <family val="2"/>
    </font>
    <font>
      <sz val="10"/>
      <color theme="1"/>
      <name val="Arial Narrow"/>
      <family val="2"/>
    </font>
    <font>
      <b/>
      <sz val="11"/>
      <color theme="1"/>
      <name val="Cambria"/>
      <family val="1"/>
    </font>
    <font>
      <sz val="10"/>
      <color theme="1"/>
      <name val="Calibri"/>
      <family val="2"/>
      <scheme val="minor"/>
    </font>
    <font>
      <b/>
      <sz val="12"/>
      <color theme="1"/>
      <name val="Cambria"/>
      <family val="1"/>
    </font>
    <font>
      <b/>
      <sz val="8"/>
      <color theme="1"/>
      <name val="Cambria"/>
      <family val="1"/>
    </font>
    <font>
      <b/>
      <sz val="11"/>
      <color theme="0"/>
      <name val="Amasis MT Pro Black"/>
      <family val="1"/>
    </font>
    <font>
      <b/>
      <sz val="20"/>
      <color rgb="FF006666"/>
      <name val="Arial"/>
      <family val="2"/>
    </font>
    <font>
      <sz val="11"/>
      <name val="Cambria"/>
      <family val="1"/>
    </font>
    <font>
      <sz val="11"/>
      <color theme="1"/>
      <name val="Cambria"/>
      <family val="1"/>
    </font>
    <font>
      <sz val="10"/>
      <color rgb="FFFF0000"/>
      <name val="Amasis MT Pro Light"/>
      <family val="1"/>
    </font>
    <font>
      <b/>
      <sz val="10"/>
      <color rgb="FFFF0000"/>
      <name val="Amasis MT Pro Light"/>
      <family val="1"/>
    </font>
    <font>
      <sz val="10"/>
      <color theme="1"/>
      <name val="Amasis MT Pro Light"/>
      <family val="1"/>
    </font>
    <font>
      <b/>
      <sz val="11"/>
      <color theme="0"/>
      <name val="Cambria"/>
      <family val="1"/>
    </font>
    <font>
      <b/>
      <sz val="12"/>
      <color theme="1"/>
      <name val="Calibri"/>
      <family val="2"/>
      <scheme val="minor"/>
    </font>
    <font>
      <b/>
      <sz val="9"/>
      <color indexed="81"/>
      <name val="Calibri"/>
      <family val="2"/>
      <scheme val="minor"/>
    </font>
    <font>
      <b/>
      <sz val="11"/>
      <name val="Aptos ExtraBold"/>
      <family val="2"/>
    </font>
    <font>
      <b/>
      <sz val="10"/>
      <color indexed="81"/>
      <name val="Aptos"/>
      <family val="2"/>
    </font>
    <font>
      <sz val="10"/>
      <color indexed="8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DAE9F8"/>
        <bgColor rgb="FF000000"/>
      </patternFill>
    </fill>
    <fill>
      <patternFill patternType="solid">
        <fgColor rgb="FFFBE2D5"/>
        <bgColor rgb="FF000000"/>
      </patternFill>
    </fill>
    <fill>
      <patternFill patternType="solid">
        <fgColor rgb="FFCCEBEB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double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27">
    <xf numFmtId="0" fontId="0" fillId="0" borderId="0" xfId="0"/>
    <xf numFmtId="0" fontId="3" fillId="0" borderId="0" xfId="0" applyFont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/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3" fillId="3" borderId="22" xfId="0" applyFont="1" applyFill="1" applyBorder="1"/>
    <xf numFmtId="0" fontId="2" fillId="3" borderId="22" xfId="0" applyFont="1" applyFill="1" applyBorder="1"/>
    <xf numFmtId="0" fontId="0" fillId="0" borderId="22" xfId="0" applyBorder="1"/>
    <xf numFmtId="0" fontId="5" fillId="0" borderId="22" xfId="0" applyFont="1" applyBorder="1"/>
    <xf numFmtId="0" fontId="4" fillId="0" borderId="22" xfId="0" applyFont="1" applyBorder="1" applyAlignment="1">
      <alignment wrapText="1"/>
    </xf>
    <xf numFmtId="0" fontId="4" fillId="0" borderId="22" xfId="0" applyFont="1" applyBorder="1"/>
    <xf numFmtId="0" fontId="5" fillId="0" borderId="22" xfId="0" applyFont="1" applyBorder="1" applyAlignment="1">
      <alignment horizontal="right"/>
    </xf>
    <xf numFmtId="18" fontId="5" fillId="0" borderId="22" xfId="0" applyNumberFormat="1" applyFont="1" applyBorder="1" applyAlignment="1">
      <alignment horizontal="right"/>
    </xf>
    <xf numFmtId="0" fontId="5" fillId="0" borderId="22" xfId="0" applyFont="1" applyBorder="1" applyAlignment="1">
      <alignment wrapText="1"/>
    </xf>
    <xf numFmtId="0" fontId="10" fillId="0" borderId="0" xfId="0" applyFont="1"/>
    <xf numFmtId="0" fontId="0" fillId="0" borderId="0" xfId="0" applyAlignment="1">
      <alignment horizontal="left"/>
    </xf>
    <xf numFmtId="0" fontId="12" fillId="4" borderId="11" xfId="0" applyFont="1" applyFill="1" applyBorder="1" applyAlignment="1">
      <alignment horizontal="left"/>
    </xf>
    <xf numFmtId="0" fontId="12" fillId="2" borderId="25" xfId="0" applyFont="1" applyFill="1" applyBorder="1"/>
    <xf numFmtId="0" fontId="10" fillId="0" borderId="0" xfId="0" applyFont="1" applyAlignment="1">
      <alignment horizontal="left"/>
    </xf>
    <xf numFmtId="0" fontId="13" fillId="5" borderId="22" xfId="0" applyFont="1" applyFill="1" applyBorder="1" applyAlignment="1">
      <alignment horizontal="center" vertical="center" wrapText="1"/>
    </xf>
    <xf numFmtId="0" fontId="13" fillId="5" borderId="22" xfId="0" applyFont="1" applyFill="1" applyBorder="1" applyAlignment="1">
      <alignment horizontal="left" vertical="center" wrapText="1"/>
    </xf>
    <xf numFmtId="0" fontId="13" fillId="6" borderId="22" xfId="0" applyFont="1" applyFill="1" applyBorder="1" applyAlignment="1">
      <alignment horizontal="center" vertical="center" wrapText="1"/>
    </xf>
    <xf numFmtId="0" fontId="13" fillId="7" borderId="22" xfId="0" applyFont="1" applyFill="1" applyBorder="1" applyAlignment="1">
      <alignment horizontal="center" vertical="center" wrapText="1"/>
    </xf>
    <xf numFmtId="0" fontId="11" fillId="8" borderId="22" xfId="0" applyFont="1" applyFill="1" applyBorder="1"/>
    <xf numFmtId="0" fontId="10" fillId="0" borderId="22" xfId="0" applyFont="1" applyBorder="1" applyAlignment="1">
      <alignment horizontal="left"/>
    </xf>
    <xf numFmtId="0" fontId="10" fillId="0" borderId="22" xfId="0" applyFont="1" applyBorder="1"/>
    <xf numFmtId="0" fontId="11" fillId="9" borderId="22" xfId="0" applyFont="1" applyFill="1" applyBorder="1"/>
    <xf numFmtId="0" fontId="11" fillId="10" borderId="22" xfId="0" applyFont="1" applyFill="1" applyBorder="1"/>
    <xf numFmtId="0" fontId="10" fillId="0" borderId="22" xfId="0" applyFont="1" applyBorder="1" applyAlignment="1">
      <alignment horizontal="left" readingOrder="2"/>
    </xf>
    <xf numFmtId="0" fontId="10" fillId="0" borderId="22" xfId="0" applyFont="1" applyBorder="1" applyAlignment="1">
      <alignment readingOrder="2"/>
    </xf>
    <xf numFmtId="0" fontId="16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18" fillId="0" borderId="0" xfId="0" applyFont="1" applyProtection="1">
      <protection locked="0"/>
    </xf>
    <xf numFmtId="0" fontId="17" fillId="11" borderId="8" xfId="0" applyFont="1" applyFill="1" applyBorder="1" applyAlignment="1" applyProtection="1">
      <alignment horizontal="right" vertical="center"/>
      <protection locked="0"/>
    </xf>
    <xf numFmtId="0" fontId="17" fillId="11" borderId="22" xfId="0" applyFont="1" applyFill="1" applyBorder="1" applyAlignment="1" applyProtection="1">
      <alignment horizontal="right" vertical="center"/>
      <protection locked="0"/>
    </xf>
    <xf numFmtId="0" fontId="17" fillId="11" borderId="22" xfId="0" applyFont="1" applyFill="1" applyBorder="1" applyAlignment="1" applyProtection="1">
      <alignment horizontal="center" vertical="center"/>
      <protection locked="0"/>
    </xf>
    <xf numFmtId="0" fontId="24" fillId="0" borderId="8" xfId="0" applyFont="1" applyBorder="1" applyAlignment="1" applyProtection="1">
      <alignment horizontal="center" vertical="center"/>
      <protection locked="0"/>
    </xf>
    <xf numFmtId="0" fontId="19" fillId="11" borderId="22" xfId="0" applyFont="1" applyFill="1" applyBorder="1" applyAlignment="1" applyProtection="1">
      <alignment horizontal="center" vertical="center"/>
      <protection locked="0"/>
    </xf>
    <xf numFmtId="0" fontId="14" fillId="12" borderId="20" xfId="0" applyFont="1" applyFill="1" applyBorder="1" applyAlignment="1" applyProtection="1">
      <alignment horizontal="center" vertical="center"/>
      <protection locked="0"/>
    </xf>
    <xf numFmtId="0" fontId="14" fillId="12" borderId="21" xfId="0" applyFont="1" applyFill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left" vertical="center"/>
      <protection locked="0"/>
    </xf>
    <xf numFmtId="0" fontId="16" fillId="0" borderId="1" xfId="0" applyFont="1" applyBorder="1" applyAlignment="1" applyProtection="1">
      <alignment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13" borderId="0" xfId="0" applyFill="1" applyProtection="1">
      <protection locked="0"/>
    </xf>
    <xf numFmtId="0" fontId="17" fillId="0" borderId="15" xfId="0" applyFont="1" applyBorder="1" applyAlignment="1" applyProtection="1">
      <alignment horizontal="center" vertical="center"/>
      <protection locked="0"/>
    </xf>
    <xf numFmtId="0" fontId="17" fillId="0" borderId="14" xfId="0" applyFont="1" applyBorder="1" applyAlignment="1" applyProtection="1">
      <alignment horizontal="center" vertical="center"/>
      <protection locked="0"/>
    </xf>
    <xf numFmtId="0" fontId="17" fillId="0" borderId="16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center" vertical="center"/>
      <protection locked="0"/>
    </xf>
    <xf numFmtId="0" fontId="17" fillId="0" borderId="28" xfId="0" applyFont="1" applyBorder="1" applyAlignment="1" applyProtection="1">
      <alignment horizontal="center" vertical="center"/>
      <protection locked="0"/>
    </xf>
    <xf numFmtId="0" fontId="17" fillId="0" borderId="19" xfId="0" applyFont="1" applyBorder="1" applyAlignment="1" applyProtection="1">
      <alignment horizontal="center" vertical="center"/>
      <protection locked="0"/>
    </xf>
    <xf numFmtId="0" fontId="17" fillId="0" borderId="26" xfId="0" applyFont="1" applyBorder="1" applyAlignment="1" applyProtection="1">
      <alignment horizontal="center" vertical="center"/>
      <protection locked="0"/>
    </xf>
    <xf numFmtId="165" fontId="23" fillId="0" borderId="22" xfId="0" applyNumberFormat="1" applyFont="1" applyBorder="1" applyAlignment="1" applyProtection="1">
      <alignment horizontal="center" vertical="center"/>
      <protection locked="0"/>
    </xf>
    <xf numFmtId="0" fontId="14" fillId="12" borderId="32" xfId="0" applyFont="1" applyFill="1" applyBorder="1" applyAlignment="1" applyProtection="1">
      <alignment horizontal="center" vertical="center"/>
      <protection locked="0"/>
    </xf>
    <xf numFmtId="0" fontId="23" fillId="0" borderId="5" xfId="0" applyFont="1" applyBorder="1" applyAlignment="1" applyProtection="1">
      <alignment horizontal="center" vertical="center"/>
      <protection locked="0"/>
    </xf>
    <xf numFmtId="0" fontId="14" fillId="12" borderId="33" xfId="0" applyFont="1" applyFill="1" applyBorder="1" applyAlignment="1" applyProtection="1">
      <alignment horizontal="center" vertical="center"/>
      <protection locked="0"/>
    </xf>
    <xf numFmtId="0" fontId="16" fillId="0" borderId="2" xfId="1" applyNumberFormat="1" applyFont="1" applyBorder="1" applyAlignment="1" applyProtection="1">
      <alignment horizontal="center" vertical="center"/>
      <protection locked="0"/>
    </xf>
    <xf numFmtId="0" fontId="19" fillId="11" borderId="27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4" fillId="12" borderId="34" xfId="0" applyFont="1" applyFill="1" applyBorder="1" applyAlignment="1" applyProtection="1">
      <alignment horizontal="center" vertical="center"/>
      <protection locked="0"/>
    </xf>
    <xf numFmtId="0" fontId="16" fillId="0" borderId="1" xfId="1" applyNumberFormat="1" applyFont="1" applyBorder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4" fontId="16" fillId="0" borderId="3" xfId="0" applyNumberFormat="1" applyFont="1" applyBorder="1" applyAlignment="1">
      <alignment horizontal="center" vertical="center" wrapText="1"/>
    </xf>
    <xf numFmtId="0" fontId="28" fillId="0" borderId="15" xfId="0" applyFont="1" applyBorder="1" applyAlignment="1" applyProtection="1">
      <alignment vertical="center"/>
      <protection locked="0"/>
    </xf>
    <xf numFmtId="0" fontId="28" fillId="0" borderId="14" xfId="0" applyFont="1" applyBorder="1" applyAlignment="1" applyProtection="1">
      <alignment vertical="center"/>
      <protection locked="0"/>
    </xf>
    <xf numFmtId="0" fontId="28" fillId="0" borderId="16" xfId="0" applyFont="1" applyBorder="1" applyAlignment="1" applyProtection="1">
      <alignment vertical="center"/>
      <protection locked="0"/>
    </xf>
    <xf numFmtId="0" fontId="28" fillId="0" borderId="17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28" fillId="0" borderId="18" xfId="0" applyFont="1" applyBorder="1" applyAlignment="1" applyProtection="1">
      <alignment vertical="center"/>
      <protection locked="0"/>
    </xf>
    <xf numFmtId="0" fontId="28" fillId="0" borderId="28" xfId="0" applyFont="1" applyBorder="1" applyAlignment="1" applyProtection="1">
      <alignment vertical="center"/>
      <protection locked="0"/>
    </xf>
    <xf numFmtId="0" fontId="28" fillId="0" borderId="19" xfId="0" applyFont="1" applyBorder="1" applyAlignment="1" applyProtection="1">
      <alignment vertical="center"/>
      <protection locked="0"/>
    </xf>
    <xf numFmtId="0" fontId="28" fillId="0" borderId="26" xfId="0" applyFont="1" applyBorder="1" applyAlignment="1" applyProtection="1">
      <alignment vertical="center"/>
      <protection locked="0"/>
    </xf>
    <xf numFmtId="4" fontId="29" fillId="0" borderId="35" xfId="0" applyNumberFormat="1" applyFont="1" applyBorder="1" applyAlignment="1" applyProtection="1">
      <alignment horizontal="center"/>
      <protection locked="0"/>
    </xf>
    <xf numFmtId="0" fontId="28" fillId="12" borderId="36" xfId="0" applyFont="1" applyFill="1" applyBorder="1" applyAlignment="1" applyProtection="1">
      <alignment horizontal="center" vertical="center"/>
      <protection locked="0"/>
    </xf>
    <xf numFmtId="0" fontId="17" fillId="11" borderId="6" xfId="0" applyFont="1" applyFill="1" applyBorder="1" applyAlignment="1" applyProtection="1">
      <alignment horizontal="left" vertical="center"/>
      <protection locked="0"/>
    </xf>
    <xf numFmtId="0" fontId="17" fillId="11" borderId="4" xfId="0" applyFont="1" applyFill="1" applyBorder="1" applyAlignment="1" applyProtection="1">
      <alignment horizontal="left" vertical="center"/>
      <protection locked="0"/>
    </xf>
    <xf numFmtId="0" fontId="17" fillId="11" borderId="7" xfId="0" applyFont="1" applyFill="1" applyBorder="1" applyAlignment="1" applyProtection="1">
      <alignment horizontal="left" vertical="center"/>
      <protection locked="0"/>
    </xf>
    <xf numFmtId="0" fontId="17" fillId="11" borderId="22" xfId="0" applyFont="1" applyFill="1" applyBorder="1" applyAlignment="1" applyProtection="1">
      <alignment horizontal="center" vertical="center"/>
      <protection locked="0"/>
    </xf>
    <xf numFmtId="0" fontId="17" fillId="11" borderId="23" xfId="0" applyFont="1" applyFill="1" applyBorder="1" applyAlignment="1" applyProtection="1">
      <alignment horizontal="center" vertical="center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0" fontId="24" fillId="0" borderId="4" xfId="0" applyFont="1" applyBorder="1" applyAlignment="1" applyProtection="1">
      <alignment horizontal="center" vertical="center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0" fontId="17" fillId="11" borderId="8" xfId="0" applyFont="1" applyFill="1" applyBorder="1" applyAlignment="1" applyProtection="1">
      <alignment horizontal="left" vertical="center"/>
      <protection locked="0"/>
    </xf>
    <xf numFmtId="0" fontId="24" fillId="0" borderId="23" xfId="0" applyFont="1" applyBorder="1" applyAlignment="1" applyProtection="1">
      <alignment horizontal="center" vertical="center"/>
      <protection locked="0"/>
    </xf>
    <xf numFmtId="0" fontId="24" fillId="0" borderId="27" xfId="0" applyFont="1" applyBorder="1" applyAlignment="1" applyProtection="1">
      <alignment horizontal="center" vertical="center"/>
      <protection locked="0"/>
    </xf>
    <xf numFmtId="0" fontId="24" fillId="0" borderId="31" xfId="0" applyFont="1" applyBorder="1" applyAlignment="1" applyProtection="1">
      <alignment horizontal="center" vertical="center"/>
      <protection locked="0"/>
    </xf>
    <xf numFmtId="0" fontId="17" fillId="11" borderId="23" xfId="0" applyFont="1" applyFill="1" applyBorder="1" applyAlignment="1" applyProtection="1">
      <alignment horizontal="left" vertical="center"/>
      <protection locked="0"/>
    </xf>
    <xf numFmtId="0" fontId="17" fillId="11" borderId="27" xfId="0" applyFont="1" applyFill="1" applyBorder="1" applyAlignment="1" applyProtection="1">
      <alignment horizontal="left" vertical="center"/>
      <protection locked="0"/>
    </xf>
    <xf numFmtId="0" fontId="17" fillId="11" borderId="24" xfId="0" applyFont="1" applyFill="1" applyBorder="1" applyAlignment="1" applyProtection="1">
      <alignment horizontal="left" vertical="center"/>
      <protection locked="0"/>
    </xf>
    <xf numFmtId="0" fontId="21" fillId="12" borderId="15" xfId="0" applyFont="1" applyFill="1" applyBorder="1" applyAlignment="1" applyProtection="1">
      <alignment horizontal="center" vertical="center"/>
      <protection locked="0"/>
    </xf>
    <xf numFmtId="0" fontId="21" fillId="12" borderId="14" xfId="0" applyFont="1" applyFill="1" applyBorder="1" applyAlignment="1" applyProtection="1">
      <alignment horizontal="center" vertical="center"/>
      <protection locked="0"/>
    </xf>
    <xf numFmtId="0" fontId="21" fillId="12" borderId="28" xfId="0" applyFont="1" applyFill="1" applyBorder="1" applyAlignment="1" applyProtection="1">
      <alignment horizontal="center" vertical="center"/>
      <protection locked="0"/>
    </xf>
    <xf numFmtId="0" fontId="21" fillId="12" borderId="19" xfId="0" applyFont="1" applyFill="1" applyBorder="1" applyAlignment="1" applyProtection="1">
      <alignment horizontal="center" vertical="center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25" fillId="0" borderId="13" xfId="0" applyFont="1" applyBorder="1" applyAlignment="1" applyProtection="1">
      <alignment horizontal="center" vertical="center" wrapText="1"/>
      <protection locked="0"/>
    </xf>
    <xf numFmtId="0" fontId="19" fillId="11" borderId="22" xfId="0" applyFont="1" applyFill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23" fillId="0" borderId="10" xfId="0" applyFont="1" applyBorder="1" applyAlignment="1" applyProtection="1">
      <alignment horizontal="left" vertical="center"/>
      <protection locked="0"/>
    </xf>
    <xf numFmtId="0" fontId="9" fillId="0" borderId="6" xfId="2" applyBorder="1" applyAlignment="1" applyProtection="1">
      <alignment horizontal="center" vertical="center"/>
      <protection locked="0"/>
    </xf>
    <xf numFmtId="0" fontId="17" fillId="0" borderId="7" xfId="0" applyFont="1" applyBorder="1" applyAlignment="1" applyProtection="1">
      <alignment horizontal="center" vertical="center"/>
      <protection locked="0"/>
    </xf>
    <xf numFmtId="0" fontId="17" fillId="11" borderId="22" xfId="0" applyFont="1" applyFill="1" applyBorder="1" applyAlignment="1" applyProtection="1">
      <alignment horizontal="left" vertical="center"/>
      <protection locked="0"/>
    </xf>
    <xf numFmtId="0" fontId="21" fillId="12" borderId="11" xfId="0" applyFont="1" applyFill="1" applyBorder="1" applyAlignment="1" applyProtection="1">
      <alignment horizontal="center" vertical="center"/>
      <protection locked="0"/>
    </xf>
    <xf numFmtId="0" fontId="21" fillId="12" borderId="13" xfId="0" applyFont="1" applyFill="1" applyBorder="1" applyAlignment="1" applyProtection="1">
      <alignment horizontal="center" vertical="center"/>
      <protection locked="0"/>
    </xf>
    <xf numFmtId="0" fontId="21" fillId="12" borderId="12" xfId="0" applyFont="1" applyFill="1" applyBorder="1" applyAlignment="1" applyProtection="1">
      <alignment horizontal="center" vertical="center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2" fillId="0" borderId="15" xfId="0" applyFont="1" applyBorder="1" applyAlignment="1" applyProtection="1">
      <alignment horizontal="center" vertical="center" wrapText="1"/>
      <protection locked="0"/>
    </xf>
    <xf numFmtId="0" fontId="22" fillId="0" borderId="14" xfId="0" applyFont="1" applyBorder="1" applyAlignment="1" applyProtection="1">
      <alignment horizontal="center" vertical="center" wrapText="1"/>
      <protection locked="0"/>
    </xf>
    <xf numFmtId="0" fontId="22" fillId="0" borderId="16" xfId="0" applyFont="1" applyBorder="1" applyAlignment="1" applyProtection="1">
      <alignment horizontal="center" vertical="center" wrapText="1"/>
      <protection locked="0"/>
    </xf>
    <xf numFmtId="0" fontId="22" fillId="0" borderId="28" xfId="0" applyFont="1" applyBorder="1" applyAlignment="1" applyProtection="1">
      <alignment horizontal="center" vertical="center" wrapText="1"/>
      <protection locked="0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22" fillId="0" borderId="26" xfId="0" applyFont="1" applyBorder="1" applyAlignment="1" applyProtection="1">
      <alignment horizontal="center" vertical="center" wrapText="1"/>
      <protection locked="0"/>
    </xf>
    <xf numFmtId="0" fontId="21" fillId="12" borderId="29" xfId="0" applyFont="1" applyFill="1" applyBorder="1" applyAlignment="1" applyProtection="1">
      <alignment horizontal="center" vertical="center" wrapText="1"/>
      <protection locked="0"/>
    </xf>
    <xf numFmtId="0" fontId="21" fillId="12" borderId="30" xfId="0" applyFont="1" applyFill="1" applyBorder="1" applyAlignment="1" applyProtection="1">
      <alignment horizontal="center" vertical="center" wrapText="1"/>
      <protection locked="0"/>
    </xf>
    <xf numFmtId="165" fontId="31" fillId="0" borderId="16" xfId="0" applyNumberFormat="1" applyFont="1" applyBorder="1" applyAlignment="1" applyProtection="1">
      <alignment horizontal="center" vertical="center"/>
      <protection locked="0"/>
    </xf>
    <xf numFmtId="165" fontId="31" fillId="0" borderId="26" xfId="0" applyNumberFormat="1" applyFont="1" applyBorder="1" applyAlignment="1" applyProtection="1">
      <alignment horizontal="center" vertical="center"/>
      <protection locked="0"/>
    </xf>
    <xf numFmtId="0" fontId="19" fillId="0" borderId="29" xfId="0" applyFont="1" applyBorder="1" applyAlignment="1" applyProtection="1">
      <alignment horizontal="center" vertical="center" wrapText="1"/>
      <protection locked="0"/>
    </xf>
    <xf numFmtId="0" fontId="19" fillId="0" borderId="30" xfId="0" applyFont="1" applyBorder="1" applyAlignment="1" applyProtection="1">
      <alignment horizontal="center" vertical="center" wrapText="1"/>
      <protection locked="0"/>
    </xf>
  </cellXfs>
  <cellStyles count="3">
    <cellStyle name="Comma" xfId="1" builtinId="3"/>
    <cellStyle name="Hyperlink" xfId="2" builtinId="8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/>
        <bottom style="thin">
          <color theme="0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/>
        <bottom style="thin">
          <color theme="0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/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/>
        <bottom style="thin">
          <color theme="0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/>
        <bottom style="thin">
          <color theme="0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 style="thin">
          <color theme="0" tint="-0.24994659260841701"/>
        </bottom>
        <vertical/>
        <horizontal/>
      </border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fill>
        <patternFill patternType="solid">
          <fgColor indexed="64"/>
          <bgColor rgb="FF006666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33A1A1"/>
      <color rgb="FF006666"/>
      <color rgb="FFCCEBEB"/>
      <color rgb="FF99CECE"/>
      <color rgb="FFFA8072"/>
      <color rgb="FFCD5C5C"/>
      <color rgb="FFFFF0F5"/>
      <color rgb="FFFAFAD2"/>
      <color rgb="FFAFEEEE"/>
      <color rgb="FFF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groups/me/reports/111cf862-4f9d-4592-aca3-eb551436da29/ReportSection?ctid=548d26ab-8caa-49e1-97c2-a1b1a06cc39c&amp;experience=power-bi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4</xdr:row>
      <xdr:rowOff>57150</xdr:rowOff>
    </xdr:from>
    <xdr:to>
      <xdr:col>8</xdr:col>
      <xdr:colOff>1228725</xdr:colOff>
      <xdr:row>5</xdr:row>
      <xdr:rowOff>161925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877609-9863-AFA9-01BF-50421B39487A}"/>
            </a:ext>
          </a:extLst>
        </xdr:cNvPr>
        <xdr:cNvSpPr/>
      </xdr:nvSpPr>
      <xdr:spPr>
        <a:xfrm>
          <a:off x="10382250" y="1057275"/>
          <a:ext cx="3048000" cy="371475"/>
        </a:xfrm>
        <a:prstGeom prst="roundRect">
          <a:avLst>
            <a:gd name="adj" fmla="val 50000"/>
          </a:avLst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Vendor Master Data - Power BI</a:t>
          </a:r>
        </a:p>
      </xdr:txBody>
    </xdr:sp>
    <xdr:clientData/>
  </xdr:twoCellAnchor>
  <xdr:twoCellAnchor>
    <xdr:from>
      <xdr:col>6</xdr:col>
      <xdr:colOff>342900</xdr:colOff>
      <xdr:row>5</xdr:row>
      <xdr:rowOff>219074</xdr:rowOff>
    </xdr:from>
    <xdr:to>
      <xdr:col>7</xdr:col>
      <xdr:colOff>579120</xdr:colOff>
      <xdr:row>7</xdr:row>
      <xdr:rowOff>5714</xdr:rowOff>
    </xdr:to>
    <xdr:sp macro="[0]!Clear_Cont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A1569E-D78D-0FF6-EE33-243F60BB3A6D}"/>
            </a:ext>
          </a:extLst>
        </xdr:cNvPr>
        <xdr:cNvSpPr/>
      </xdr:nvSpPr>
      <xdr:spPr>
        <a:xfrm>
          <a:off x="10639425" y="1485899"/>
          <a:ext cx="1188720" cy="32004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CLEAR DATA</a:t>
          </a:r>
        </a:p>
      </xdr:txBody>
    </xdr:sp>
    <xdr:clientData/>
  </xdr:twoCellAnchor>
  <xdr:twoCellAnchor>
    <xdr:from>
      <xdr:col>7</xdr:col>
      <xdr:colOff>742950</xdr:colOff>
      <xdr:row>5</xdr:row>
      <xdr:rowOff>219074</xdr:rowOff>
    </xdr:from>
    <xdr:to>
      <xdr:col>8</xdr:col>
      <xdr:colOff>979170</xdr:colOff>
      <xdr:row>7</xdr:row>
      <xdr:rowOff>5714</xdr:rowOff>
    </xdr:to>
    <xdr:sp macro="[0]!Send_Emai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1D44BC0-662E-4470-B3D3-54F5DBBDF6B0}"/>
            </a:ext>
          </a:extLst>
        </xdr:cNvPr>
        <xdr:cNvSpPr/>
      </xdr:nvSpPr>
      <xdr:spPr>
        <a:xfrm>
          <a:off x="11991975" y="1485899"/>
          <a:ext cx="1188720" cy="32004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SEND EMAIL</a:t>
          </a:r>
        </a:p>
      </xdr:txBody>
    </xdr:sp>
    <xdr:clientData/>
  </xdr:twoCellAnchor>
  <xdr:twoCellAnchor>
    <xdr:from>
      <xdr:col>6</xdr:col>
      <xdr:colOff>352425</xdr:colOff>
      <xdr:row>7</xdr:row>
      <xdr:rowOff>133349</xdr:rowOff>
    </xdr:from>
    <xdr:to>
      <xdr:col>7</xdr:col>
      <xdr:colOff>588645</xdr:colOff>
      <xdr:row>8</xdr:row>
      <xdr:rowOff>186689</xdr:rowOff>
    </xdr:to>
    <xdr:sp macro="[0]!Delete_R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1B5545-59C8-4727-AD48-BAC4E1EA8F98}"/>
            </a:ext>
          </a:extLst>
        </xdr:cNvPr>
        <xdr:cNvSpPr/>
      </xdr:nvSpPr>
      <xdr:spPr>
        <a:xfrm>
          <a:off x="10648950" y="1933574"/>
          <a:ext cx="1188720" cy="32004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DELETE ROWS</a:t>
          </a:r>
        </a:p>
      </xdr:txBody>
    </xdr:sp>
    <xdr:clientData/>
  </xdr:twoCellAnchor>
  <xdr:twoCellAnchor>
    <xdr:from>
      <xdr:col>7</xdr:col>
      <xdr:colOff>752475</xdr:colOff>
      <xdr:row>7</xdr:row>
      <xdr:rowOff>133349</xdr:rowOff>
    </xdr:from>
    <xdr:to>
      <xdr:col>8</xdr:col>
      <xdr:colOff>988695</xdr:colOff>
      <xdr:row>8</xdr:row>
      <xdr:rowOff>186689</xdr:rowOff>
    </xdr:to>
    <xdr:sp macro="[0]!Insert_Row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E60844E-92CB-41C0-9E13-89357A272FB4}"/>
            </a:ext>
          </a:extLst>
        </xdr:cNvPr>
        <xdr:cNvSpPr/>
      </xdr:nvSpPr>
      <xdr:spPr>
        <a:xfrm>
          <a:off x="12001500" y="1933574"/>
          <a:ext cx="1188720" cy="320040"/>
        </a:xfrm>
        <a:prstGeom prst="roundRect">
          <a:avLst/>
        </a:prstGeom>
        <a:solidFill>
          <a:srgbClr val="33A1A1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ADD ROWS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85CDAD-0E70-452C-BF7A-119B012D436F}" name="Table1" displayName="Table1" ref="A13:I23" totalsRowShown="0" headerRowDxfId="10" headerRowBorderDxfId="9">
  <autoFilter ref="A13:I23" xr:uid="{7C85CDAD-0E70-452C-BF7A-119B012D43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1FAD4F2-96CD-4F8A-A756-7A73D1BD83EA}" name="TYPE" dataDxfId="8"/>
    <tableColumn id="2" xr3:uid="{E2259E04-F147-438B-A410-B5E7345EF9FA}" name="WBS GL CODE" dataDxfId="7">
      <calculatedColumnFormula>IF(AND(LEFT(RIGHT($E$8,5),2)="90", ISNUMBER(--RIGHT($E$8,3))),
    IF(A14="Service",
        "60301100 - Outsourcing Services",
        IF(A14="Goods",
            "63009300 - Supplies Used",
            "")),
    IF(AND(LEFT(RIGHT($E$8,5),2)="00", ISNUMBER(--RIGHT($E$8,3))),
        IF(A14="Service",
            "67020200 - Renovation Services",
            IF(A14="Goods",
                "67020200 - Fixed Asset Non-Production Clearing",
                "")),
        ""))</calculatedColumnFormula>
    </tableColumn>
    <tableColumn id="3" xr3:uid="{9CA165C5-A1AE-4925-B214-E28A02294303}" name="COST CENTER GL CODE" dataDxfId="6"/>
    <tableColumn id="4" xr3:uid="{C754AC12-FC5C-4185-B6DF-C1322A652CF8}" name="GL Code" dataDxfId="5">
      <calculatedColumnFormula>IFERROR(IF(B14&lt;&gt;"",LEFT(B14,8),LEFT(C14,8)),"")</calculatedColumnFormula>
    </tableColumn>
    <tableColumn id="5" xr3:uid="{39CAE03C-A2EE-4239-9DFE-CB5C4E818C59}" name="DESCRIPTION" dataDxfId="4"/>
    <tableColumn id="6" xr3:uid="{56C35F99-9F54-4D28-A60C-B1D8AB3C1A5A}" name="COST CENTER" dataDxfId="3"/>
    <tableColumn id="7" xr3:uid="{E0CFDA9F-F080-47FC-A058-2F3238BF38AE}" name="QUANTITY" dataDxfId="2" dataCellStyle="Comma"/>
    <tableColumn id="8" xr3:uid="{CAEC0496-39CC-41F2-A31C-734512DD6086}" name="UNIT PRICE" dataDxfId="1" dataCellStyle="Comma"/>
    <tableColumn id="9" xr3:uid="{4659E0DA-BE60-4AFC-A417-AE4558F33E86}" name="TOTAL" dataDxfId="0">
      <calculatedColumnFormula>IF(G14*H14=0,"",G14*H14)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0885-D704-4844-B245-7BFF033EB202}">
  <sheetPr codeName="Sheet1">
    <tabColor rgb="FF002060"/>
  </sheetPr>
  <dimension ref="A1:Z113"/>
  <sheetViews>
    <sheetView showGridLines="0" tabSelected="1" zoomScaleNormal="100" workbookViewId="0">
      <selection activeCell="B2" sqref="B2:B3"/>
    </sheetView>
  </sheetViews>
  <sheetFormatPr defaultColWidth="0" defaultRowHeight="15"/>
  <cols>
    <col min="1" max="1" width="18" style="38" customWidth="1"/>
    <col min="2" max="2" width="25.7109375" style="38" customWidth="1"/>
    <col min="3" max="3" width="35" style="38" customWidth="1"/>
    <col min="4" max="4" width="26.42578125" style="38" bestFit="1" customWidth="1"/>
    <col min="5" max="5" width="30.42578125" style="38" customWidth="1"/>
    <col min="6" max="6" width="18.85546875" style="38" customWidth="1"/>
    <col min="7" max="8" width="14.28515625" style="38" customWidth="1"/>
    <col min="9" max="9" width="20" style="38" customWidth="1"/>
    <col min="10" max="14" width="9.140625" style="38" customWidth="1"/>
    <col min="15" max="16384" width="9.140625" style="38" hidden="1"/>
  </cols>
  <sheetData>
    <row r="1" spans="1:26" ht="21.95" customHeight="1" thickBot="1">
      <c r="A1" s="102" t="s">
        <v>1543</v>
      </c>
      <c r="B1" s="103"/>
      <c r="C1" s="103"/>
      <c r="D1" s="103"/>
      <c r="E1" s="103"/>
      <c r="F1" s="103"/>
      <c r="G1" s="103"/>
      <c r="H1" s="103"/>
      <c r="I1" s="104"/>
    </row>
    <row r="2" spans="1:26" ht="15.4" customHeight="1">
      <c r="A2" s="121" t="s">
        <v>1531</v>
      </c>
      <c r="B2" s="125"/>
      <c r="C2" s="115" t="s">
        <v>1534</v>
      </c>
      <c r="D2" s="116"/>
      <c r="E2" s="116"/>
      <c r="F2" s="117"/>
      <c r="G2" s="98" t="s">
        <v>1550</v>
      </c>
      <c r="H2" s="99"/>
      <c r="I2" s="123">
        <f ca="1">TODAY()</f>
        <v>46307</v>
      </c>
    </row>
    <row r="3" spans="1:26" ht="15.75" customHeight="1" thickBot="1">
      <c r="A3" s="122"/>
      <c r="B3" s="126"/>
      <c r="C3" s="118"/>
      <c r="D3" s="119"/>
      <c r="E3" s="119"/>
      <c r="F3" s="120"/>
      <c r="G3" s="100"/>
      <c r="H3" s="101"/>
      <c r="I3" s="124"/>
    </row>
    <row r="4" spans="1:26" ht="26.25" customHeight="1" thickBot="1">
      <c r="A4" s="111" t="s">
        <v>0</v>
      </c>
      <c r="B4" s="112"/>
      <c r="C4" s="111" t="s">
        <v>1</v>
      </c>
      <c r="D4" s="113"/>
      <c r="E4" s="113"/>
      <c r="F4" s="112"/>
      <c r="G4" s="111" t="s">
        <v>151</v>
      </c>
      <c r="H4" s="113"/>
      <c r="I4" s="112"/>
    </row>
    <row r="5" spans="1:26" s="39" customFormat="1" ht="21" customHeight="1">
      <c r="A5" s="83" t="s">
        <v>1538</v>
      </c>
      <c r="B5" s="84"/>
      <c r="C5" s="85"/>
      <c r="D5" s="91" t="s">
        <v>1540</v>
      </c>
      <c r="E5" s="91"/>
      <c r="F5" s="83"/>
      <c r="G5" s="53"/>
      <c r="H5" s="54"/>
      <c r="I5" s="55"/>
    </row>
    <row r="6" spans="1:26" ht="21" customHeight="1">
      <c r="A6" s="88"/>
      <c r="B6" s="89"/>
      <c r="C6" s="90"/>
      <c r="D6" s="92"/>
      <c r="E6" s="93"/>
      <c r="F6" s="94"/>
      <c r="G6" s="56"/>
      <c r="H6" s="67"/>
      <c r="I6" s="57"/>
    </row>
    <row r="7" spans="1:26" ht="21" customHeight="1">
      <c r="A7" s="95" t="s">
        <v>1539</v>
      </c>
      <c r="B7" s="96"/>
      <c r="C7" s="97"/>
      <c r="D7" s="40" t="s">
        <v>1533</v>
      </c>
      <c r="E7" s="92"/>
      <c r="F7" s="94"/>
      <c r="G7" s="56"/>
      <c r="H7" s="67"/>
      <c r="I7" s="57"/>
    </row>
    <row r="8" spans="1:26" ht="21" customHeight="1">
      <c r="A8" s="88"/>
      <c r="B8" s="89"/>
      <c r="C8" s="90"/>
      <c r="D8" s="41" t="s">
        <v>1536</v>
      </c>
      <c r="E8" s="114"/>
      <c r="F8" s="92"/>
      <c r="G8" s="56"/>
      <c r="H8" s="67"/>
      <c r="I8" s="57"/>
    </row>
    <row r="9" spans="1:26" ht="21" customHeight="1" thickBot="1">
      <c r="A9" s="110" t="s">
        <v>1537</v>
      </c>
      <c r="B9" s="110"/>
      <c r="C9" s="42" t="s">
        <v>1541</v>
      </c>
      <c r="D9" s="86" t="s">
        <v>1535</v>
      </c>
      <c r="E9" s="86"/>
      <c r="F9" s="87"/>
      <c r="G9" s="58"/>
      <c r="H9" s="59"/>
      <c r="I9" s="60"/>
    </row>
    <row r="10" spans="1:26" ht="21" customHeight="1">
      <c r="A10" s="108"/>
      <c r="B10" s="109"/>
      <c r="C10" s="43"/>
      <c r="D10" s="88"/>
      <c r="E10" s="89"/>
      <c r="F10" s="89"/>
      <c r="G10" s="72"/>
      <c r="H10" s="73"/>
      <c r="I10" s="74"/>
    </row>
    <row r="11" spans="1:26" ht="21" customHeight="1">
      <c r="A11" s="105" t="s">
        <v>1542</v>
      </c>
      <c r="B11" s="105"/>
      <c r="C11" s="44" t="s">
        <v>1544</v>
      </c>
      <c r="D11" s="44" t="s">
        <v>152</v>
      </c>
      <c r="E11" s="44" t="s">
        <v>153</v>
      </c>
      <c r="F11" s="66" t="s">
        <v>1546</v>
      </c>
      <c r="G11" s="75"/>
      <c r="H11" s="76"/>
      <c r="I11" s="77"/>
    </row>
    <row r="12" spans="1:26" ht="21" customHeight="1" thickBot="1">
      <c r="A12" s="106"/>
      <c r="B12" s="107"/>
      <c r="C12" s="70"/>
      <c r="D12" s="61"/>
      <c r="E12" s="61"/>
      <c r="F12" s="63"/>
      <c r="G12" s="78"/>
      <c r="H12" s="79"/>
      <c r="I12" s="80"/>
    </row>
    <row r="13" spans="1:26" ht="22.5" customHeight="1" thickBot="1">
      <c r="A13" s="45" t="s">
        <v>2</v>
      </c>
      <c r="B13" s="46" t="s">
        <v>1552</v>
      </c>
      <c r="C13" s="46" t="s">
        <v>1553</v>
      </c>
      <c r="D13" s="46" t="s">
        <v>140</v>
      </c>
      <c r="E13" s="62" t="s">
        <v>3</v>
      </c>
      <c r="F13" s="46" t="s">
        <v>1547</v>
      </c>
      <c r="G13" s="62" t="s">
        <v>4</v>
      </c>
      <c r="H13" s="68" t="s">
        <v>5</v>
      </c>
      <c r="I13" s="64" t="s">
        <v>1548</v>
      </c>
      <c r="Z13" s="38" t="s">
        <v>1532</v>
      </c>
    </row>
    <row r="14" spans="1:26">
      <c r="A14" s="47"/>
      <c r="B14" s="36" t="str">
        <f t="shared" ref="B14" si="0">IF(AND(LEFT(RIGHT($E$8,5),2)="90", ISNUMBER(--RIGHT($E$8,3))),
    IF(A14="Service",
        "60301100 - Outsourcing Services",
        IF(A14="Goods",
            "63009300 - Supplies Used",
            "")),
    IF(AND(LEFT(RIGHT($E$8,5),2)="00", ISNUMBER(--RIGHT($E$8,3))),
        IF(A14="Service",
            "67020200 - Renovation Services",
            IF(A14="Goods",
                "67020200 - Fixed Asset Non-Production Clearing",
                "")),
        ""))</f>
        <v/>
      </c>
      <c r="C14" s="48"/>
      <c r="D14" s="37" t="str">
        <f t="shared" ref="D14" si="1">IFERROR(IF(B14&lt;&gt;"",LEFT(B14,8),LEFT(C14,8)),"")</f>
        <v/>
      </c>
      <c r="E14" s="49"/>
      <c r="F14" s="50"/>
      <c r="G14" s="65"/>
      <c r="H14" s="69"/>
      <c r="I14" s="71" t="str">
        <f>IF(G14*H14=0,"",G14*H14)</f>
        <v/>
      </c>
      <c r="K14" s="51"/>
      <c r="Z14" s="52" t="str" cm="1">
        <f t="array" ref="Z14">TRANSPOSE(_xlfn._xlws.FILTER('GRW GL ACCOUNT LIST'!$B$6:$B$35&amp;" - "&amp;'GRW GL ACCOUNT LIST'!$D$6:$D$35, 'GRW GL ACCOUNT LIST'!$C$6:$C$35=Table1[[#This Row],[TYPE]], " "))</f>
        <v xml:space="preserve"> </v>
      </c>
    </row>
    <row r="15" spans="1:26">
      <c r="A15" s="47"/>
      <c r="B15" s="36" t="str">
        <f t="shared" ref="B15:B18" si="2">IF(AND(LEFT(RIGHT($E$8,5),2)="90", ISNUMBER(--RIGHT($E$8,3))),
    IF(A15="Service",
        "60301100 - Outsourcing Services",
        IF(A15="Goods",
            "63009300 - Supplies Used",
            "")),
    IF(AND(LEFT(RIGHT($E$8,5),2)="00", ISNUMBER(--RIGHT($E$8,3))),
        IF(A15="Service",
            "67020200 - Renovation Services",
            IF(A15="Goods",
                "67020200 - Fixed Asset Non-Production Clearing",
                "")),
        ""))</f>
        <v/>
      </c>
      <c r="C15" s="48"/>
      <c r="D15" s="37" t="str">
        <f t="shared" ref="D15" si="3">IFERROR(IF(B15&lt;&gt;"",LEFT(B15,8),LEFT(C15,8)),"")</f>
        <v/>
      </c>
      <c r="E15" s="49"/>
      <c r="F15" s="50"/>
      <c r="G15" s="65"/>
      <c r="H15" s="69"/>
      <c r="I15" s="71" t="str">
        <f t="shared" ref="I15" si="4">IF(G15*H15=0,"",G15*H15)</f>
        <v/>
      </c>
      <c r="Z15" s="52" t="str" cm="1">
        <f t="array" ref="Z15">TRANSPOSE(_xlfn._xlws.FILTER('GRW GL ACCOUNT LIST'!$B$6:$B$35&amp;" - "&amp;'GRW GL ACCOUNT LIST'!$D$6:$D$35, 'GRW GL ACCOUNT LIST'!$C$6:$C$35=Table1[[#This Row],[TYPE]], " "))</f>
        <v xml:space="preserve"> </v>
      </c>
    </row>
    <row r="16" spans="1:26">
      <c r="A16" s="47"/>
      <c r="B16" s="36" t="str">
        <f t="shared" si="2"/>
        <v/>
      </c>
      <c r="C16" s="48"/>
      <c r="D16" s="37" t="str">
        <f t="shared" ref="D16:D18" si="5">IFERROR(IF(B16&lt;&gt;"",LEFT(B16,8),LEFT(C16,8)),"")</f>
        <v/>
      </c>
      <c r="E16" s="49"/>
      <c r="F16" s="50"/>
      <c r="G16" s="65"/>
      <c r="H16" s="69"/>
      <c r="I16" s="71" t="str">
        <f t="shared" ref="I16:I18" si="6">IF(G16*H16=0,"",G16*H16)</f>
        <v/>
      </c>
      <c r="Z16" s="52" t="str" cm="1">
        <f t="array" ref="Z16">TRANSPOSE(_xlfn._xlws.FILTER('GRW GL ACCOUNT LIST'!$B$6:$B$35&amp;" - "&amp;'GRW GL ACCOUNT LIST'!$D$6:$D$35, 'GRW GL ACCOUNT LIST'!$C$6:$C$35=Table1[[#This Row],[TYPE]], " "))</f>
        <v xml:space="preserve"> </v>
      </c>
    </row>
    <row r="17" spans="1:26">
      <c r="A17" s="47"/>
      <c r="B17" s="36" t="str">
        <f t="shared" si="2"/>
        <v/>
      </c>
      <c r="C17" s="48"/>
      <c r="D17" s="37" t="str">
        <f t="shared" si="5"/>
        <v/>
      </c>
      <c r="E17" s="49"/>
      <c r="F17" s="50"/>
      <c r="G17" s="65"/>
      <c r="H17" s="69"/>
      <c r="I17" s="71" t="str">
        <f t="shared" si="6"/>
        <v/>
      </c>
      <c r="Z17" s="52" t="str" cm="1">
        <f t="array" ref="Z17">TRANSPOSE(_xlfn._xlws.FILTER('GRW GL ACCOUNT LIST'!$B$6:$B$35&amp;" - "&amp;'GRW GL ACCOUNT LIST'!$D$6:$D$35, 'GRW GL ACCOUNT LIST'!$C$6:$C$35=Table1[[#This Row],[TYPE]], " "))</f>
        <v xml:space="preserve"> </v>
      </c>
    </row>
    <row r="18" spans="1:26">
      <c r="A18" s="47"/>
      <c r="B18" s="36" t="str">
        <f t="shared" si="2"/>
        <v/>
      </c>
      <c r="C18" s="48"/>
      <c r="D18" s="37" t="str">
        <f t="shared" si="5"/>
        <v/>
      </c>
      <c r="E18" s="49"/>
      <c r="F18" s="50"/>
      <c r="G18" s="65"/>
      <c r="H18" s="69"/>
      <c r="I18" s="71" t="str">
        <f t="shared" si="6"/>
        <v/>
      </c>
      <c r="Z18" s="52" t="str" cm="1">
        <f t="array" ref="Z18">TRANSPOSE(_xlfn._xlws.FILTER('GRW GL ACCOUNT LIST'!$B$6:$B$35&amp;" - "&amp;'GRW GL ACCOUNT LIST'!$D$6:$D$35, 'GRW GL ACCOUNT LIST'!$C$6:$C$35=Table1[[#This Row],[TYPE]], " "))</f>
        <v xml:space="preserve"> </v>
      </c>
    </row>
    <row r="19" spans="1:26">
      <c r="A19" s="47"/>
      <c r="B19" s="36" t="str">
        <f t="shared" ref="B19:B21" si="7">IF(AND(LEFT(RIGHT($E$8,5),2)="90", ISNUMBER(--RIGHT($E$8,3))),
    IF(A19="Service",
        "60301100 - Outsourcing Services",
        IF(A19="Goods",
            "63009300 - Supplies Used",
            "")),
    IF(AND(LEFT(RIGHT($E$8,5),2)="00", ISNUMBER(--RIGHT($E$8,3))),
        IF(A19="Service",
            "67020200 - Renovation Services",
            IF(A19="Goods",
                "67020200 - Fixed Asset Non-Production Clearing",
                "")),
        ""))</f>
        <v/>
      </c>
      <c r="C19" s="48"/>
      <c r="D19" s="37" t="str">
        <f t="shared" ref="D19" si="8">IFERROR(IF(B19&lt;&gt;"",LEFT(B19,8),LEFT(C19,8)),"")</f>
        <v/>
      </c>
      <c r="E19" s="49"/>
      <c r="F19" s="50"/>
      <c r="G19" s="65"/>
      <c r="H19" s="69"/>
      <c r="I19" s="71" t="str">
        <f t="shared" ref="I19" si="9">IF(G19*H19=0,"",G19*H19)</f>
        <v/>
      </c>
      <c r="Z19" s="52" t="str" cm="1">
        <f t="array" ref="Z19">TRANSPOSE(_xlfn._xlws.FILTER('GRW GL ACCOUNT LIST'!$B$6:$B$35&amp;" - "&amp;'GRW GL ACCOUNT LIST'!$D$6:$D$35, 'GRW GL ACCOUNT LIST'!$C$6:$C$35=Table1[[#This Row],[TYPE]], " "))</f>
        <v xml:space="preserve"> </v>
      </c>
    </row>
    <row r="20" spans="1:26">
      <c r="A20" s="47"/>
      <c r="B20" s="36" t="str">
        <f t="shared" si="7"/>
        <v/>
      </c>
      <c r="C20" s="48"/>
      <c r="D20" s="37" t="str">
        <f t="shared" ref="D20:D21" si="10">IFERROR(IF(B20&lt;&gt;"",LEFT(B20,8),LEFT(C20,8)),"")</f>
        <v/>
      </c>
      <c r="E20" s="49"/>
      <c r="F20" s="50"/>
      <c r="G20" s="65"/>
      <c r="H20" s="69"/>
      <c r="I20" s="71" t="str">
        <f t="shared" ref="I20:I21" si="11">IF(G20*H20=0,"",G20*H20)</f>
        <v/>
      </c>
      <c r="Z20" s="52" t="str" cm="1">
        <f t="array" ref="Z20">TRANSPOSE(_xlfn._xlws.FILTER('GRW GL ACCOUNT LIST'!$B$6:$B$35&amp;" - "&amp;'GRW GL ACCOUNT LIST'!$D$6:$D$35, 'GRW GL ACCOUNT LIST'!$C$6:$C$35=Table1[[#This Row],[TYPE]], " "))</f>
        <v xml:space="preserve"> </v>
      </c>
    </row>
    <row r="21" spans="1:26">
      <c r="A21" s="47"/>
      <c r="B21" s="36" t="str">
        <f t="shared" si="7"/>
        <v/>
      </c>
      <c r="C21" s="48"/>
      <c r="D21" s="37" t="str">
        <f t="shared" si="10"/>
        <v/>
      </c>
      <c r="E21" s="49"/>
      <c r="F21" s="50"/>
      <c r="G21" s="65"/>
      <c r="H21" s="69"/>
      <c r="I21" s="71" t="str">
        <f t="shared" si="11"/>
        <v/>
      </c>
      <c r="Z21" s="52" t="str" cm="1">
        <f t="array" ref="Z21">TRANSPOSE(_xlfn._xlws.FILTER('GRW GL ACCOUNT LIST'!$B$6:$B$35&amp;" - "&amp;'GRW GL ACCOUNT LIST'!$D$6:$D$35, 'GRW GL ACCOUNT LIST'!$C$6:$C$35=Table1[[#This Row],[TYPE]], " "))</f>
        <v xml:space="preserve"> </v>
      </c>
    </row>
    <row r="22" spans="1:26">
      <c r="A22" s="47"/>
      <c r="B22" s="36" t="str">
        <f t="shared" ref="B22:B23" si="12">IF(AND(LEFT(RIGHT($E$8,5),2)="90", ISNUMBER(--RIGHT($E$8,3))),
    IF(A22="Service",
        "60301100 - Outsourcing Services",
        IF(A22="Goods",
            "63009300 - Supplies Used",
            "")),
    IF(AND(LEFT(RIGHT($E$8,5),2)="00", ISNUMBER(--RIGHT($E$8,3))),
        IF(A22="Service",
            "67020200 - Renovation Services",
            IF(A22="Goods",
                "67020200 - Fixed Asset Non-Production Clearing",
                "")),
        ""))</f>
        <v/>
      </c>
      <c r="C22" s="48"/>
      <c r="D22" s="37" t="str">
        <f t="shared" ref="D22" si="13">IFERROR(IF(B22&lt;&gt;"",LEFT(B22,8),LEFT(C22,8)),"")</f>
        <v/>
      </c>
      <c r="E22" s="49"/>
      <c r="F22" s="50"/>
      <c r="G22" s="65"/>
      <c r="H22" s="69"/>
      <c r="I22" s="71" t="str">
        <f t="shared" ref="I22" si="14">IF(G22*H22=0,"",G22*H22)</f>
        <v/>
      </c>
      <c r="Z22" s="52" t="str" cm="1">
        <f t="array" ref="Z22">TRANSPOSE(_xlfn._xlws.FILTER('GRW GL ACCOUNT LIST'!$B$6:$B$35&amp;" - "&amp;'GRW GL ACCOUNT LIST'!$D$6:$D$35, 'GRW GL ACCOUNT LIST'!$C$6:$C$35=Table1[[#This Row],[TYPE]], " "))</f>
        <v xml:space="preserve"> </v>
      </c>
    </row>
    <row r="23" spans="1:26" ht="15.75" thickBot="1">
      <c r="A23" s="47"/>
      <c r="B23" s="36" t="str">
        <f t="shared" si="12"/>
        <v/>
      </c>
      <c r="C23" s="48"/>
      <c r="D23" s="37" t="str">
        <f t="shared" ref="D23" si="15">IFERROR(IF(B23&lt;&gt;"",LEFT(B23,8),LEFT(C23,8)),"")</f>
        <v/>
      </c>
      <c r="E23" s="49"/>
      <c r="F23" s="50"/>
      <c r="G23" s="65"/>
      <c r="H23" s="69"/>
      <c r="I23" s="71" t="str">
        <f t="shared" ref="I23" si="16">IF(G23*H23=0,"",G23*H23)</f>
        <v/>
      </c>
      <c r="Z23" s="52" t="str" cm="1">
        <f t="array" ref="Z23">TRANSPOSE(_xlfn._xlws.FILTER('GRW GL ACCOUNT LIST'!$B$6:$B$35&amp;" - "&amp;'GRW GL ACCOUNT LIST'!$D$6:$D$35, 'GRW GL ACCOUNT LIST'!$C$6:$C$35=Table1[[#This Row],[TYPE]], " "))</f>
        <v xml:space="preserve"> </v>
      </c>
    </row>
    <row r="24" spans="1:26" ht="17.25" thickTop="1" thickBot="1">
      <c r="H24" s="82" t="s">
        <v>1549</v>
      </c>
      <c r="I24" s="81">
        <f>SUM(I14:I23)</f>
        <v>0</v>
      </c>
      <c r="Z24" s="52" t="e" cm="1">
        <f t="array" ref="Z24">TRANSPOSE(_xlfn._xlws.FILTER('GRW GL ACCOUNT LIST'!$B$6:$B$35&amp;" - "&amp;'GRW GL ACCOUNT LIST'!$D$6:$D$35, 'GRW GL ACCOUNT LIST'!$C$6:$C$35=Table1[[#This Row],[TYPE]], " "))</f>
        <v>#VALUE!</v>
      </c>
    </row>
    <row r="25" spans="1:26" ht="15.75" thickTop="1">
      <c r="Z25" s="52" t="e" cm="1">
        <f t="array" ref="Z25">TRANSPOSE(_xlfn._xlws.FILTER('GRW GL ACCOUNT LIST'!$B$6:$B$35&amp;" - "&amp;'GRW GL ACCOUNT LIST'!$D$6:$D$35, 'GRW GL ACCOUNT LIST'!$C$6:$C$35=Table1[[#This Row],[TYPE]], " "))</f>
        <v>#VALUE!</v>
      </c>
    </row>
    <row r="26" spans="1:26">
      <c r="Z26" s="52" t="e" cm="1">
        <f t="array" ref="Z26">TRANSPOSE(_xlfn._xlws.FILTER('GRW GL ACCOUNT LIST'!$B$6:$B$35&amp;" - "&amp;'GRW GL ACCOUNT LIST'!$D$6:$D$35, 'GRW GL ACCOUNT LIST'!$C$6:$C$35=Table1[[#This Row],[TYPE]], " "))</f>
        <v>#VALUE!</v>
      </c>
    </row>
    <row r="27" spans="1:26">
      <c r="Z27" s="52" t="e" cm="1">
        <f t="array" ref="Z27">TRANSPOSE(_xlfn._xlws.FILTER('GRW GL ACCOUNT LIST'!$B$6:$B$35&amp;" - "&amp;'GRW GL ACCOUNT LIST'!$D$6:$D$35, 'GRW GL ACCOUNT LIST'!$C$6:$C$35=Table1[[#This Row],[TYPE]], " "))</f>
        <v>#VALUE!</v>
      </c>
    </row>
    <row r="28" spans="1:26">
      <c r="Z28" s="52" t="e" cm="1">
        <f t="array" ref="Z28">TRANSPOSE(_xlfn._xlws.FILTER('GRW GL ACCOUNT LIST'!$B$6:$B$35&amp;" - "&amp;'GRW GL ACCOUNT LIST'!$D$6:$D$35, 'GRW GL ACCOUNT LIST'!$C$6:$C$35=Table1[[#This Row],[TYPE]], " "))</f>
        <v>#VALUE!</v>
      </c>
    </row>
    <row r="29" spans="1:26">
      <c r="Z29" s="52" t="e" cm="1">
        <f t="array" ref="Z29">TRANSPOSE(_xlfn._xlws.FILTER('GRW GL ACCOUNT LIST'!$B$6:$B$35&amp;" - "&amp;'GRW GL ACCOUNT LIST'!$D$6:$D$35, 'GRW GL ACCOUNT LIST'!$C$6:$C$35=Table1[[#This Row],[TYPE]], " "))</f>
        <v>#VALUE!</v>
      </c>
    </row>
    <row r="30" spans="1:26">
      <c r="Z30" s="52" t="e" cm="1">
        <f t="array" ref="Z30">TRANSPOSE(_xlfn._xlws.FILTER('GRW GL ACCOUNT LIST'!$B$6:$B$35&amp;" - "&amp;'GRW GL ACCOUNT LIST'!$D$6:$D$35, 'GRW GL ACCOUNT LIST'!$C$6:$C$35=Table1[[#This Row],[TYPE]], " "))</f>
        <v>#VALUE!</v>
      </c>
    </row>
    <row r="31" spans="1:26">
      <c r="Z31" s="52" t="e" cm="1">
        <f t="array" ref="Z31">TRANSPOSE(_xlfn._xlws.FILTER('GRW GL ACCOUNT LIST'!$B$6:$B$35&amp;" - "&amp;'GRW GL ACCOUNT LIST'!$D$6:$D$35, 'GRW GL ACCOUNT LIST'!$C$6:$C$35=Table1[[#This Row],[TYPE]], " "))</f>
        <v>#VALUE!</v>
      </c>
    </row>
    <row r="32" spans="1:26">
      <c r="Z32" s="52" t="e" cm="1">
        <f t="array" ref="Z32">TRANSPOSE(_xlfn._xlws.FILTER('GRW GL ACCOUNT LIST'!$B$6:$B$35&amp;" - "&amp;'GRW GL ACCOUNT LIST'!$D$6:$D$35, 'GRW GL ACCOUNT LIST'!$C$6:$C$35=Table1[[#This Row],[TYPE]], " "))</f>
        <v>#VALUE!</v>
      </c>
    </row>
    <row r="33" spans="26:26">
      <c r="Z33" s="52" t="e" cm="1">
        <f t="array" ref="Z33">TRANSPOSE(_xlfn._xlws.FILTER('GRW GL ACCOUNT LIST'!$B$6:$B$35&amp;" - "&amp;'GRW GL ACCOUNT LIST'!$D$6:$D$35, 'GRW GL ACCOUNT LIST'!$C$6:$C$35=Table1[[#This Row],[TYPE]], " "))</f>
        <v>#VALUE!</v>
      </c>
    </row>
    <row r="34" spans="26:26" ht="18.75" customHeight="1">
      <c r="Z34" s="52" t="e" cm="1">
        <f t="array" ref="Z34">TRANSPOSE(_xlfn._xlws.FILTER('GRW GL ACCOUNT LIST'!$B$6:$B$35&amp;" - "&amp;'GRW GL ACCOUNT LIST'!$D$6:$D$35, 'GRW GL ACCOUNT LIST'!$C$6:$C$35=Table1[[#This Row],[TYPE]], " "))</f>
        <v>#VALUE!</v>
      </c>
    </row>
    <row r="35" spans="26:26">
      <c r="Z35" s="52" t="e" cm="1">
        <f t="array" ref="Z35">TRANSPOSE(_xlfn._xlws.FILTER('GRW GL ACCOUNT LIST'!$B$6:$B$35&amp;" - "&amp;'GRW GL ACCOUNT LIST'!$D$6:$D$35, 'GRW GL ACCOUNT LIST'!$C$6:$C$35=Table1[[#This Row],[TYPE]], " "))</f>
        <v>#VALUE!</v>
      </c>
    </row>
    <row r="36" spans="26:26">
      <c r="Z36" s="52" t="e" cm="1">
        <f t="array" ref="Z36">TRANSPOSE(_xlfn._xlws.FILTER('GRW GL ACCOUNT LIST'!$B$6:$B$35&amp;" - "&amp;'GRW GL ACCOUNT LIST'!$D$6:$D$35, 'GRW GL ACCOUNT LIST'!$C$6:$C$35=Table1[[#This Row],[TYPE]], " "))</f>
        <v>#VALUE!</v>
      </c>
    </row>
    <row r="37" spans="26:26">
      <c r="Z37" s="52" t="e" cm="1">
        <f t="array" ref="Z37">TRANSPOSE(_xlfn._xlws.FILTER('GRW GL ACCOUNT LIST'!$B$6:$B$35&amp;" - "&amp;'GRW GL ACCOUNT LIST'!$D$6:$D$35, 'GRW GL ACCOUNT LIST'!$C$6:$C$35=Table1[[#This Row],[TYPE]], " "))</f>
        <v>#VALUE!</v>
      </c>
    </row>
    <row r="38" spans="26:26">
      <c r="Z38" s="52" t="e" cm="1">
        <f t="array" ref="Z38">TRANSPOSE(_xlfn._xlws.FILTER('GRW GL ACCOUNT LIST'!$B$6:$B$35&amp;" - "&amp;'GRW GL ACCOUNT LIST'!$D$6:$D$35, 'GRW GL ACCOUNT LIST'!$C$6:$C$35=Table1[[#This Row],[TYPE]], " "))</f>
        <v>#VALUE!</v>
      </c>
    </row>
    <row r="39" spans="26:26">
      <c r="Z39" s="52" t="e" cm="1">
        <f t="array" ref="Z39">TRANSPOSE(_xlfn._xlws.FILTER('GRW GL ACCOUNT LIST'!$B$6:$B$35&amp;" - "&amp;'GRW GL ACCOUNT LIST'!$D$6:$D$35, 'GRW GL ACCOUNT LIST'!$C$6:$C$35=Table1[[#This Row],[TYPE]], " "))</f>
        <v>#VALUE!</v>
      </c>
    </row>
    <row r="40" spans="26:26">
      <c r="Z40" s="52" t="e" cm="1">
        <f t="array" ref="Z40">TRANSPOSE(_xlfn._xlws.FILTER('GRW GL ACCOUNT LIST'!$B$6:$B$35&amp;" - "&amp;'GRW GL ACCOUNT LIST'!$D$6:$D$35, 'GRW GL ACCOUNT LIST'!$C$6:$C$35=Table1[[#This Row],[TYPE]], " "))</f>
        <v>#VALUE!</v>
      </c>
    </row>
    <row r="41" spans="26:26">
      <c r="Z41" s="52" t="e" cm="1">
        <f t="array" ref="Z41">TRANSPOSE(_xlfn._xlws.FILTER('GRW GL ACCOUNT LIST'!$B$6:$B$35&amp;" - "&amp;'GRW GL ACCOUNT LIST'!$D$6:$D$35, 'GRW GL ACCOUNT LIST'!$C$6:$C$35=Table1[[#This Row],[TYPE]], " "))</f>
        <v>#VALUE!</v>
      </c>
    </row>
    <row r="42" spans="26:26">
      <c r="Z42" s="52" t="e" cm="1">
        <f t="array" ref="Z42">TRANSPOSE(_xlfn._xlws.FILTER('GRW GL ACCOUNT LIST'!$B$6:$B$35&amp;" - "&amp;'GRW GL ACCOUNT LIST'!$D$6:$D$35, 'GRW GL ACCOUNT LIST'!$C$6:$C$35=Table1[[#This Row],[TYPE]], " "))</f>
        <v>#VALUE!</v>
      </c>
    </row>
    <row r="43" spans="26:26">
      <c r="Z43" s="52" t="e" cm="1">
        <f t="array" ref="Z43">TRANSPOSE(_xlfn._xlws.FILTER('GRW GL ACCOUNT LIST'!$B$6:$B$35&amp;" - "&amp;'GRW GL ACCOUNT LIST'!$D$6:$D$35, 'GRW GL ACCOUNT LIST'!$C$6:$C$35=Table1[[#This Row],[TYPE]], " "))</f>
        <v>#VALUE!</v>
      </c>
    </row>
    <row r="44" spans="26:26">
      <c r="Z44" s="52" t="e" cm="1">
        <f t="array" ref="Z44">TRANSPOSE(_xlfn._xlws.FILTER('GRW GL ACCOUNT LIST'!$B$6:$B$35&amp;" - "&amp;'GRW GL ACCOUNT LIST'!$D$6:$D$35, 'GRW GL ACCOUNT LIST'!$C$6:$C$35=Table1[[#This Row],[TYPE]], " "))</f>
        <v>#VALUE!</v>
      </c>
    </row>
    <row r="45" spans="26:26">
      <c r="Z45" s="52" t="e" cm="1">
        <f t="array" ref="Z45">TRANSPOSE(_xlfn._xlws.FILTER('GRW GL ACCOUNT LIST'!$B$6:$B$35&amp;" - "&amp;'GRW GL ACCOUNT LIST'!$D$6:$D$35, 'GRW GL ACCOUNT LIST'!$C$6:$C$35=Table1[[#This Row],[TYPE]], " "))</f>
        <v>#VALUE!</v>
      </c>
    </row>
    <row r="46" spans="26:26">
      <c r="Z46" s="52" t="e" cm="1">
        <f t="array" ref="Z46">TRANSPOSE(_xlfn._xlws.FILTER('GRW GL ACCOUNT LIST'!$B$6:$B$35&amp;" - "&amp;'GRW GL ACCOUNT LIST'!$D$6:$D$35, 'GRW GL ACCOUNT LIST'!$C$6:$C$35=Table1[[#This Row],[TYPE]], " "))</f>
        <v>#VALUE!</v>
      </c>
    </row>
    <row r="47" spans="26:26">
      <c r="Z47" s="52" t="e" cm="1">
        <f t="array" ref="Z47">TRANSPOSE(_xlfn._xlws.FILTER('GRW GL ACCOUNT LIST'!$B$6:$B$35&amp;" - "&amp;'GRW GL ACCOUNT LIST'!$D$6:$D$35, 'GRW GL ACCOUNT LIST'!$C$6:$C$35=Table1[[#This Row],[TYPE]], " "))</f>
        <v>#VALUE!</v>
      </c>
    </row>
    <row r="48" spans="26:26">
      <c r="Z48" s="52" t="e" cm="1">
        <f t="array" ref="Z48">TRANSPOSE(_xlfn._xlws.FILTER('GRW GL ACCOUNT LIST'!$B$6:$B$35&amp;" - "&amp;'GRW GL ACCOUNT LIST'!$D$6:$D$35, 'GRW GL ACCOUNT LIST'!$C$6:$C$35=Table1[[#This Row],[TYPE]], " "))</f>
        <v>#VALUE!</v>
      </c>
    </row>
    <row r="49" spans="26:26">
      <c r="Z49" s="52" t="e" cm="1">
        <f t="array" ref="Z49">TRANSPOSE(_xlfn._xlws.FILTER('GRW GL ACCOUNT LIST'!$B$6:$B$35&amp;" - "&amp;'GRW GL ACCOUNT LIST'!$D$6:$D$35, 'GRW GL ACCOUNT LIST'!$C$6:$C$35=Table1[[#This Row],[TYPE]], " "))</f>
        <v>#VALUE!</v>
      </c>
    </row>
    <row r="50" spans="26:26">
      <c r="Z50" s="52" t="e" cm="1">
        <f t="array" ref="Z50">TRANSPOSE(_xlfn._xlws.FILTER('GRW GL ACCOUNT LIST'!$B$6:$B$35&amp;" - "&amp;'GRW GL ACCOUNT LIST'!$D$6:$D$35, 'GRW GL ACCOUNT LIST'!$C$6:$C$35=Table1[[#This Row],[TYPE]], " "))</f>
        <v>#VALUE!</v>
      </c>
    </row>
    <row r="51" spans="26:26">
      <c r="Z51" s="52" t="e" cm="1">
        <f t="array" ref="Z51">TRANSPOSE(_xlfn._xlws.FILTER('GRW GL ACCOUNT LIST'!$B$6:$B$35&amp;" - "&amp;'GRW GL ACCOUNT LIST'!$D$6:$D$35, 'GRW GL ACCOUNT LIST'!$C$6:$C$35=Table1[[#This Row],[TYPE]], " "))</f>
        <v>#VALUE!</v>
      </c>
    </row>
    <row r="52" spans="26:26">
      <c r="Z52" s="52" t="e" cm="1">
        <f t="array" ref="Z52">TRANSPOSE(_xlfn._xlws.FILTER('GRW GL ACCOUNT LIST'!$B$6:$B$35&amp;" - "&amp;'GRW GL ACCOUNT LIST'!$D$6:$D$35, 'GRW GL ACCOUNT LIST'!$C$6:$C$35=Table1[[#This Row],[TYPE]], " "))</f>
        <v>#VALUE!</v>
      </c>
    </row>
    <row r="53" spans="26:26">
      <c r="Z53" s="52" t="e" cm="1">
        <f t="array" ref="Z53">TRANSPOSE(_xlfn._xlws.FILTER('GRW GL ACCOUNT LIST'!$B$6:$B$35&amp;" - "&amp;'GRW GL ACCOUNT LIST'!$D$6:$D$35, 'GRW GL ACCOUNT LIST'!$C$6:$C$35=Table1[[#This Row],[TYPE]], " "))</f>
        <v>#VALUE!</v>
      </c>
    </row>
    <row r="54" spans="26:26">
      <c r="Z54" s="52" t="e" cm="1">
        <f t="array" ref="Z54">TRANSPOSE(_xlfn._xlws.FILTER('GRW GL ACCOUNT LIST'!$B$6:$B$35&amp;" - "&amp;'GRW GL ACCOUNT LIST'!$D$6:$D$35, 'GRW GL ACCOUNT LIST'!$C$6:$C$35=Table1[[#This Row],[TYPE]], " "))</f>
        <v>#VALUE!</v>
      </c>
    </row>
    <row r="55" spans="26:26">
      <c r="Z55" s="52" t="e" cm="1">
        <f t="array" ref="Z55">TRANSPOSE(_xlfn._xlws.FILTER('GRW GL ACCOUNT LIST'!$B$6:$B$35&amp;" - "&amp;'GRW GL ACCOUNT LIST'!$D$6:$D$35, 'GRW GL ACCOUNT LIST'!$C$6:$C$35=Table1[[#This Row],[TYPE]], " "))</f>
        <v>#VALUE!</v>
      </c>
    </row>
    <row r="56" spans="26:26">
      <c r="Z56" s="52" t="e" cm="1">
        <f t="array" ref="Z56">TRANSPOSE(_xlfn._xlws.FILTER('GRW GL ACCOUNT LIST'!$B$6:$B$35&amp;" - "&amp;'GRW GL ACCOUNT LIST'!$D$6:$D$35, 'GRW GL ACCOUNT LIST'!$C$6:$C$35=Table1[[#This Row],[TYPE]], " "))</f>
        <v>#VALUE!</v>
      </c>
    </row>
    <row r="57" spans="26:26">
      <c r="Z57" s="52" t="e" cm="1">
        <f t="array" ref="Z57">TRANSPOSE(_xlfn._xlws.FILTER('GRW GL ACCOUNT LIST'!$B$6:$B$35&amp;" - "&amp;'GRW GL ACCOUNT LIST'!$D$6:$D$35, 'GRW GL ACCOUNT LIST'!$C$6:$C$35=Table1[[#This Row],[TYPE]], " "))</f>
        <v>#VALUE!</v>
      </c>
    </row>
    <row r="58" spans="26:26">
      <c r="Z58" s="52" t="e" cm="1">
        <f t="array" ref="Z58">TRANSPOSE(_xlfn._xlws.FILTER('GRW GL ACCOUNT LIST'!$B$6:$B$35&amp;" - "&amp;'GRW GL ACCOUNT LIST'!$D$6:$D$35, 'GRW GL ACCOUNT LIST'!$C$6:$C$35=Table1[[#This Row],[TYPE]], " "))</f>
        <v>#VALUE!</v>
      </c>
    </row>
    <row r="59" spans="26:26">
      <c r="Z59" s="52" t="e" cm="1">
        <f t="array" ref="Z59">TRANSPOSE(_xlfn._xlws.FILTER('GRW GL ACCOUNT LIST'!$B$6:$B$35&amp;" - "&amp;'GRW GL ACCOUNT LIST'!$D$6:$D$35, 'GRW GL ACCOUNT LIST'!$C$6:$C$35=Table1[[#This Row],[TYPE]], " "))</f>
        <v>#VALUE!</v>
      </c>
    </row>
    <row r="60" spans="26:26">
      <c r="Z60" s="52" t="e" cm="1">
        <f t="array" ref="Z60">TRANSPOSE(_xlfn._xlws.FILTER('GRW GL ACCOUNT LIST'!$B$6:$B$35&amp;" - "&amp;'GRW GL ACCOUNT LIST'!$D$6:$D$35, 'GRW GL ACCOUNT LIST'!$C$6:$C$35=Table1[[#This Row],[TYPE]], " "))</f>
        <v>#VALUE!</v>
      </c>
    </row>
    <row r="61" spans="26:26">
      <c r="Z61" s="52" t="e" cm="1">
        <f t="array" ref="Z61">TRANSPOSE(_xlfn._xlws.FILTER('GRW GL ACCOUNT LIST'!$B$6:$B$35&amp;" - "&amp;'GRW GL ACCOUNT LIST'!$D$6:$D$35, 'GRW GL ACCOUNT LIST'!$C$6:$C$35=Table1[[#This Row],[TYPE]], " "))</f>
        <v>#VALUE!</v>
      </c>
    </row>
    <row r="62" spans="26:26">
      <c r="Z62" s="52" t="e" cm="1">
        <f t="array" ref="Z62">TRANSPOSE(_xlfn._xlws.FILTER('GRW GL ACCOUNT LIST'!$B$6:$B$35&amp;" - "&amp;'GRW GL ACCOUNT LIST'!$D$6:$D$35, 'GRW GL ACCOUNT LIST'!$C$6:$C$35=Table1[[#This Row],[TYPE]], " "))</f>
        <v>#VALUE!</v>
      </c>
    </row>
    <row r="63" spans="26:26">
      <c r="Z63" s="52" t="e" cm="1">
        <f t="array" ref="Z63">TRANSPOSE(_xlfn._xlws.FILTER('GRW GL ACCOUNT LIST'!$B$6:$B$35&amp;" - "&amp;'GRW GL ACCOUNT LIST'!$D$6:$D$35, 'GRW GL ACCOUNT LIST'!$C$6:$C$35=Table1[[#This Row],[TYPE]], " "))</f>
        <v>#VALUE!</v>
      </c>
    </row>
    <row r="64" spans="26:26">
      <c r="Z64" s="52" t="e" cm="1">
        <f t="array" ref="Z64">TRANSPOSE(_xlfn._xlws.FILTER('GRW GL ACCOUNT LIST'!$B$6:$B$35&amp;" - "&amp;'GRW GL ACCOUNT LIST'!$D$6:$D$35, 'GRW GL ACCOUNT LIST'!$C$6:$C$35=Table1[[#This Row],[TYPE]], " "))</f>
        <v>#VALUE!</v>
      </c>
    </row>
    <row r="65" spans="26:26">
      <c r="Z65" s="52" t="e" cm="1">
        <f t="array" ref="Z65">TRANSPOSE(_xlfn._xlws.FILTER('GRW GL ACCOUNT LIST'!$B$6:$B$35&amp;" - "&amp;'GRW GL ACCOUNT LIST'!$D$6:$D$35, 'GRW GL ACCOUNT LIST'!$C$6:$C$35=Table1[[#This Row],[TYPE]], " "))</f>
        <v>#VALUE!</v>
      </c>
    </row>
    <row r="66" spans="26:26">
      <c r="Z66" s="52" t="e" cm="1">
        <f t="array" ref="Z66">TRANSPOSE(_xlfn._xlws.FILTER('GRW GL ACCOUNT LIST'!$B$6:$B$35&amp;" - "&amp;'GRW GL ACCOUNT LIST'!$D$6:$D$35, 'GRW GL ACCOUNT LIST'!$C$6:$C$35=Table1[[#This Row],[TYPE]], " "))</f>
        <v>#VALUE!</v>
      </c>
    </row>
    <row r="67" spans="26:26">
      <c r="Z67" s="52" t="e" cm="1">
        <f t="array" ref="Z67">TRANSPOSE(_xlfn._xlws.FILTER('GRW GL ACCOUNT LIST'!$B$6:$B$35&amp;" - "&amp;'GRW GL ACCOUNT LIST'!$D$6:$D$35, 'GRW GL ACCOUNT LIST'!$C$6:$C$35=Table1[[#This Row],[TYPE]], " "))</f>
        <v>#VALUE!</v>
      </c>
    </row>
    <row r="68" spans="26:26">
      <c r="Z68" s="52" t="e" cm="1">
        <f t="array" ref="Z68">TRANSPOSE(_xlfn._xlws.FILTER('GRW GL ACCOUNT LIST'!$B$6:$B$35&amp;" - "&amp;'GRW GL ACCOUNT LIST'!$D$6:$D$35, 'GRW GL ACCOUNT LIST'!$C$6:$C$35=Table1[[#This Row],[TYPE]], " "))</f>
        <v>#VALUE!</v>
      </c>
    </row>
    <row r="69" spans="26:26">
      <c r="Z69" s="52" t="e" cm="1">
        <f t="array" ref="Z69">TRANSPOSE(_xlfn._xlws.FILTER('GRW GL ACCOUNT LIST'!$B$6:$B$35&amp;" - "&amp;'GRW GL ACCOUNT LIST'!$D$6:$D$35, 'GRW GL ACCOUNT LIST'!$C$6:$C$35=Table1[[#This Row],[TYPE]], " "))</f>
        <v>#VALUE!</v>
      </c>
    </row>
    <row r="70" spans="26:26">
      <c r="Z70" s="52" t="e" cm="1">
        <f t="array" ref="Z70">TRANSPOSE(_xlfn._xlws.FILTER('GRW GL ACCOUNT LIST'!$B$6:$B$35&amp;" - "&amp;'GRW GL ACCOUNT LIST'!$D$6:$D$35, 'GRW GL ACCOUNT LIST'!$C$6:$C$35=Table1[[#This Row],[TYPE]], " "))</f>
        <v>#VALUE!</v>
      </c>
    </row>
    <row r="71" spans="26:26">
      <c r="Z71" s="52" t="e" cm="1">
        <f t="array" ref="Z71">TRANSPOSE(_xlfn._xlws.FILTER('GRW GL ACCOUNT LIST'!$B$6:$B$35&amp;" - "&amp;'GRW GL ACCOUNT LIST'!$D$6:$D$35, 'GRW GL ACCOUNT LIST'!$C$6:$C$35=Table1[[#This Row],[TYPE]], " "))</f>
        <v>#VALUE!</v>
      </c>
    </row>
    <row r="72" spans="26:26">
      <c r="Z72" s="52" t="e" cm="1">
        <f t="array" ref="Z72">TRANSPOSE(_xlfn._xlws.FILTER('GRW GL ACCOUNT LIST'!$B$6:$B$35&amp;" - "&amp;'GRW GL ACCOUNT LIST'!$D$6:$D$35, 'GRW GL ACCOUNT LIST'!$C$6:$C$35=Table1[[#This Row],[TYPE]], " "))</f>
        <v>#VALUE!</v>
      </c>
    </row>
    <row r="73" spans="26:26">
      <c r="Z73" s="52" t="e" cm="1">
        <f t="array" ref="Z73">TRANSPOSE(_xlfn._xlws.FILTER('GRW GL ACCOUNT LIST'!$B$6:$B$35&amp;" - "&amp;'GRW GL ACCOUNT LIST'!$D$6:$D$35, 'GRW GL ACCOUNT LIST'!$C$6:$C$35=Table1[[#This Row],[TYPE]], " "))</f>
        <v>#VALUE!</v>
      </c>
    </row>
    <row r="74" spans="26:26">
      <c r="Z74" s="52" t="e" cm="1">
        <f t="array" ref="Z74">TRANSPOSE(_xlfn._xlws.FILTER('GRW GL ACCOUNT LIST'!$B$6:$B$35&amp;" - "&amp;'GRW GL ACCOUNT LIST'!$D$6:$D$35, 'GRW GL ACCOUNT LIST'!$C$6:$C$35=Table1[[#This Row],[TYPE]], " "))</f>
        <v>#VALUE!</v>
      </c>
    </row>
    <row r="75" spans="26:26">
      <c r="Z75" s="52" t="e" cm="1">
        <f t="array" ref="Z75">TRANSPOSE(_xlfn._xlws.FILTER('GRW GL ACCOUNT LIST'!$B$6:$B$35&amp;" - "&amp;'GRW GL ACCOUNT LIST'!$D$6:$D$35, 'GRW GL ACCOUNT LIST'!$C$6:$C$35=Table1[[#This Row],[TYPE]], " "))</f>
        <v>#VALUE!</v>
      </c>
    </row>
    <row r="76" spans="26:26">
      <c r="Z76" s="52" t="e" cm="1">
        <f t="array" ref="Z76">TRANSPOSE(_xlfn._xlws.FILTER('GRW GL ACCOUNT LIST'!$B$6:$B$35&amp;" - "&amp;'GRW GL ACCOUNT LIST'!$D$6:$D$35, 'GRW GL ACCOUNT LIST'!$C$6:$C$35=Table1[[#This Row],[TYPE]], " "))</f>
        <v>#VALUE!</v>
      </c>
    </row>
    <row r="77" spans="26:26">
      <c r="Z77" s="52" t="e" cm="1">
        <f t="array" ref="Z77">TRANSPOSE(_xlfn._xlws.FILTER('GRW GL ACCOUNT LIST'!$B$6:$B$35&amp;" - "&amp;'GRW GL ACCOUNT LIST'!$D$6:$D$35, 'GRW GL ACCOUNT LIST'!$C$6:$C$35=Table1[[#This Row],[TYPE]], " "))</f>
        <v>#VALUE!</v>
      </c>
    </row>
    <row r="78" spans="26:26">
      <c r="Z78" s="52" t="e" cm="1">
        <f t="array" ref="Z78">TRANSPOSE(_xlfn._xlws.FILTER('GRW GL ACCOUNT LIST'!$B$6:$B$35&amp;" - "&amp;'GRW GL ACCOUNT LIST'!$D$6:$D$35, 'GRW GL ACCOUNT LIST'!$C$6:$C$35=Table1[[#This Row],[TYPE]], " "))</f>
        <v>#VALUE!</v>
      </c>
    </row>
    <row r="79" spans="26:26">
      <c r="Z79" s="52" t="e" cm="1">
        <f t="array" ref="Z79">TRANSPOSE(_xlfn._xlws.FILTER('GRW GL ACCOUNT LIST'!$B$6:$B$35&amp;" - "&amp;'GRW GL ACCOUNT LIST'!$D$6:$D$35, 'GRW GL ACCOUNT LIST'!$C$6:$C$35=Table1[[#This Row],[TYPE]], " "))</f>
        <v>#VALUE!</v>
      </c>
    </row>
    <row r="80" spans="26:26">
      <c r="Z80" s="52" t="e" cm="1">
        <f t="array" ref="Z80">TRANSPOSE(_xlfn._xlws.FILTER('GRW GL ACCOUNT LIST'!$B$6:$B$35&amp;" - "&amp;'GRW GL ACCOUNT LIST'!$D$6:$D$35, 'GRW GL ACCOUNT LIST'!$C$6:$C$35=Table1[[#This Row],[TYPE]], " "))</f>
        <v>#VALUE!</v>
      </c>
    </row>
    <row r="81" spans="26:26">
      <c r="Z81" s="52" t="e" cm="1">
        <f t="array" ref="Z81">TRANSPOSE(_xlfn._xlws.FILTER('GRW GL ACCOUNT LIST'!$B$6:$B$35&amp;" - "&amp;'GRW GL ACCOUNT LIST'!$D$6:$D$35, 'GRW GL ACCOUNT LIST'!$C$6:$C$35=Table1[[#This Row],[TYPE]], " "))</f>
        <v>#VALUE!</v>
      </c>
    </row>
    <row r="82" spans="26:26">
      <c r="Z82" s="52" t="e" cm="1">
        <f t="array" ref="Z82">TRANSPOSE(_xlfn._xlws.FILTER('GRW GL ACCOUNT LIST'!$B$6:$B$35&amp;" - "&amp;'GRW GL ACCOUNT LIST'!$D$6:$D$35, 'GRW GL ACCOUNT LIST'!$C$6:$C$35=Table1[[#This Row],[TYPE]], " "))</f>
        <v>#VALUE!</v>
      </c>
    </row>
    <row r="83" spans="26:26">
      <c r="Z83" s="52" t="e" cm="1">
        <f t="array" ref="Z83">TRANSPOSE(_xlfn._xlws.FILTER('GRW GL ACCOUNT LIST'!$B$6:$B$35&amp;" - "&amp;'GRW GL ACCOUNT LIST'!$D$6:$D$35, 'GRW GL ACCOUNT LIST'!$C$6:$C$35=Table1[[#This Row],[TYPE]], " "))</f>
        <v>#VALUE!</v>
      </c>
    </row>
    <row r="84" spans="26:26">
      <c r="Z84" s="52" t="e" cm="1">
        <f t="array" ref="Z84">TRANSPOSE(_xlfn._xlws.FILTER('GRW GL ACCOUNT LIST'!$B$6:$B$35&amp;" - "&amp;'GRW GL ACCOUNT LIST'!$D$6:$D$35, 'GRW GL ACCOUNT LIST'!$C$6:$C$35=Table1[[#This Row],[TYPE]], " "))</f>
        <v>#VALUE!</v>
      </c>
    </row>
    <row r="85" spans="26:26">
      <c r="Z85" s="52" t="e" cm="1">
        <f t="array" ref="Z85">TRANSPOSE(_xlfn._xlws.FILTER('GRW GL ACCOUNT LIST'!$B$6:$B$35&amp;" - "&amp;'GRW GL ACCOUNT LIST'!$D$6:$D$35, 'GRW GL ACCOUNT LIST'!$C$6:$C$35=Table1[[#This Row],[TYPE]], " "))</f>
        <v>#VALUE!</v>
      </c>
    </row>
    <row r="86" spans="26:26">
      <c r="Z86" s="52" t="e" cm="1">
        <f t="array" ref="Z86">TRANSPOSE(_xlfn._xlws.FILTER('GRW GL ACCOUNT LIST'!$B$6:$B$35&amp;" - "&amp;'GRW GL ACCOUNT LIST'!$D$6:$D$35, 'GRW GL ACCOUNT LIST'!$C$6:$C$35=Table1[[#This Row],[TYPE]], " "))</f>
        <v>#VALUE!</v>
      </c>
    </row>
    <row r="87" spans="26:26">
      <c r="Z87" s="52" t="e" cm="1">
        <f t="array" ref="Z87">TRANSPOSE(_xlfn._xlws.FILTER('GRW GL ACCOUNT LIST'!$B$6:$B$35&amp;" - "&amp;'GRW GL ACCOUNT LIST'!$D$6:$D$35, 'GRW GL ACCOUNT LIST'!$C$6:$C$35=Table1[[#This Row],[TYPE]], " "))</f>
        <v>#VALUE!</v>
      </c>
    </row>
    <row r="88" spans="26:26">
      <c r="Z88" s="52" t="e" cm="1">
        <f t="array" ref="Z88">TRANSPOSE(_xlfn._xlws.FILTER('GRW GL ACCOUNT LIST'!$B$6:$B$35&amp;" - "&amp;'GRW GL ACCOUNT LIST'!$D$6:$D$35, 'GRW GL ACCOUNT LIST'!$C$6:$C$35=Table1[[#This Row],[TYPE]], " "))</f>
        <v>#VALUE!</v>
      </c>
    </row>
    <row r="89" spans="26:26">
      <c r="Z89" s="52" t="e" cm="1">
        <f t="array" ref="Z89">TRANSPOSE(_xlfn._xlws.FILTER('GRW GL ACCOUNT LIST'!$B$6:$B$35&amp;" - "&amp;'GRW GL ACCOUNT LIST'!$D$6:$D$35, 'GRW GL ACCOUNT LIST'!$C$6:$C$35=Table1[[#This Row],[TYPE]], " "))</f>
        <v>#VALUE!</v>
      </c>
    </row>
    <row r="90" spans="26:26">
      <c r="Z90" s="52" t="e" cm="1">
        <f t="array" ref="Z90">TRANSPOSE(_xlfn._xlws.FILTER('GRW GL ACCOUNT LIST'!$B$6:$B$35&amp;" - "&amp;'GRW GL ACCOUNT LIST'!$D$6:$D$35, 'GRW GL ACCOUNT LIST'!$C$6:$C$35=Table1[[#This Row],[TYPE]], " "))</f>
        <v>#VALUE!</v>
      </c>
    </row>
    <row r="91" spans="26:26">
      <c r="Z91" s="52" t="e" cm="1">
        <f t="array" ref="Z91">TRANSPOSE(_xlfn._xlws.FILTER('GRW GL ACCOUNT LIST'!$B$6:$B$35&amp;" - "&amp;'GRW GL ACCOUNT LIST'!$D$6:$D$35, 'GRW GL ACCOUNT LIST'!$C$6:$C$35=Table1[[#This Row],[TYPE]], " "))</f>
        <v>#VALUE!</v>
      </c>
    </row>
    <row r="92" spans="26:26">
      <c r="Z92" s="52" t="e" cm="1">
        <f t="array" ref="Z92">TRANSPOSE(_xlfn._xlws.FILTER('GRW GL ACCOUNT LIST'!$B$6:$B$35&amp;" - "&amp;'GRW GL ACCOUNT LIST'!$D$6:$D$35, 'GRW GL ACCOUNT LIST'!$C$6:$C$35=Table1[[#This Row],[TYPE]], " "))</f>
        <v>#VALUE!</v>
      </c>
    </row>
    <row r="93" spans="26:26">
      <c r="Z93" s="52" t="e" cm="1">
        <f t="array" ref="Z93">TRANSPOSE(_xlfn._xlws.FILTER('GRW GL ACCOUNT LIST'!$B$6:$B$35&amp;" - "&amp;'GRW GL ACCOUNT LIST'!$D$6:$D$35, 'GRW GL ACCOUNT LIST'!$C$6:$C$35=Table1[[#This Row],[TYPE]], " "))</f>
        <v>#VALUE!</v>
      </c>
    </row>
    <row r="94" spans="26:26">
      <c r="Z94" s="52" t="e" cm="1">
        <f t="array" ref="Z94">TRANSPOSE(_xlfn._xlws.FILTER('GRW GL ACCOUNT LIST'!$B$6:$B$35&amp;" - "&amp;'GRW GL ACCOUNT LIST'!$D$6:$D$35, 'GRW GL ACCOUNT LIST'!$C$6:$C$35=Table1[[#This Row],[TYPE]], " "))</f>
        <v>#VALUE!</v>
      </c>
    </row>
    <row r="95" spans="26:26">
      <c r="Z95" s="52" t="e" cm="1">
        <f t="array" ref="Z95">TRANSPOSE(_xlfn._xlws.FILTER('GRW GL ACCOUNT LIST'!$B$6:$B$35&amp;" - "&amp;'GRW GL ACCOUNT LIST'!$D$6:$D$35, 'GRW GL ACCOUNT LIST'!$C$6:$C$35=Table1[[#This Row],[TYPE]], " "))</f>
        <v>#VALUE!</v>
      </c>
    </row>
    <row r="96" spans="26:26">
      <c r="Z96" s="52" t="e" cm="1">
        <f t="array" ref="Z96">TRANSPOSE(_xlfn._xlws.FILTER('GRW GL ACCOUNT LIST'!$B$6:$B$35&amp;" - "&amp;'GRW GL ACCOUNT LIST'!$D$6:$D$35, 'GRW GL ACCOUNT LIST'!$C$6:$C$35=Table1[[#This Row],[TYPE]], " "))</f>
        <v>#VALUE!</v>
      </c>
    </row>
    <row r="97" spans="26:26">
      <c r="Z97" s="52" t="e" cm="1">
        <f t="array" ref="Z97">TRANSPOSE(_xlfn._xlws.FILTER('GRW GL ACCOUNT LIST'!$B$6:$B$35&amp;" - "&amp;'GRW GL ACCOUNT LIST'!$D$6:$D$35, 'GRW GL ACCOUNT LIST'!$C$6:$C$35=Table1[[#This Row],[TYPE]], " "))</f>
        <v>#VALUE!</v>
      </c>
    </row>
    <row r="98" spans="26:26">
      <c r="Z98" s="52" t="e" cm="1">
        <f t="array" ref="Z98">TRANSPOSE(_xlfn._xlws.FILTER('GRW GL ACCOUNT LIST'!$B$6:$B$35&amp;" - "&amp;'GRW GL ACCOUNT LIST'!$D$6:$D$35, 'GRW GL ACCOUNT LIST'!$C$6:$C$35=Table1[[#This Row],[TYPE]], " "))</f>
        <v>#VALUE!</v>
      </c>
    </row>
    <row r="99" spans="26:26">
      <c r="Z99" s="52" t="e" cm="1">
        <f t="array" ref="Z99">TRANSPOSE(_xlfn._xlws.FILTER('GRW GL ACCOUNT LIST'!$B$6:$B$35&amp;" - "&amp;'GRW GL ACCOUNT LIST'!$D$6:$D$35, 'GRW GL ACCOUNT LIST'!$C$6:$C$35=Table1[[#This Row],[TYPE]], " "))</f>
        <v>#VALUE!</v>
      </c>
    </row>
    <row r="100" spans="26:26">
      <c r="Z100" s="52" t="e" cm="1">
        <f t="array" ref="Z100">TRANSPOSE(_xlfn._xlws.FILTER('GRW GL ACCOUNT LIST'!$B$6:$B$35&amp;" - "&amp;'GRW GL ACCOUNT LIST'!$D$6:$D$35, 'GRW GL ACCOUNT LIST'!$C$6:$C$35=Table1[[#This Row],[TYPE]], " "))</f>
        <v>#VALUE!</v>
      </c>
    </row>
    <row r="101" spans="26:26">
      <c r="Z101" s="52" t="e" cm="1">
        <f t="array" ref="Z101">TRANSPOSE(_xlfn._xlws.FILTER('GRW GL ACCOUNT LIST'!$B$6:$B$35&amp;" - "&amp;'GRW GL ACCOUNT LIST'!$D$6:$D$35, 'GRW GL ACCOUNT LIST'!$C$6:$C$35=Table1[[#This Row],[TYPE]], " "))</f>
        <v>#VALUE!</v>
      </c>
    </row>
    <row r="102" spans="26:26">
      <c r="Z102" s="52" t="e" cm="1">
        <f t="array" ref="Z102">TRANSPOSE(_xlfn._xlws.FILTER('GRW GL ACCOUNT LIST'!$B$6:$B$35&amp;" - "&amp;'GRW GL ACCOUNT LIST'!$D$6:$D$35, 'GRW GL ACCOUNT LIST'!$C$6:$C$35=Table1[[#This Row],[TYPE]], " "))</f>
        <v>#VALUE!</v>
      </c>
    </row>
    <row r="103" spans="26:26">
      <c r="Z103" s="52" t="e" cm="1">
        <f t="array" ref="Z103">TRANSPOSE(_xlfn._xlws.FILTER('GRW GL ACCOUNT LIST'!$B$6:$B$35&amp;" - "&amp;'GRW GL ACCOUNT LIST'!$D$6:$D$35, 'GRW GL ACCOUNT LIST'!$C$6:$C$35=Table1[[#This Row],[TYPE]], " "))</f>
        <v>#VALUE!</v>
      </c>
    </row>
    <row r="104" spans="26:26">
      <c r="Z104" s="52" t="e" cm="1">
        <f t="array" ref="Z104">TRANSPOSE(_xlfn._xlws.FILTER('GRW GL ACCOUNT LIST'!$B$6:$B$35&amp;" - "&amp;'GRW GL ACCOUNT LIST'!$D$6:$D$35, 'GRW GL ACCOUNT LIST'!$C$6:$C$35=Table1[[#This Row],[TYPE]], " "))</f>
        <v>#VALUE!</v>
      </c>
    </row>
    <row r="105" spans="26:26">
      <c r="Z105" s="52" t="e" cm="1">
        <f t="array" ref="Z105">TRANSPOSE(_xlfn._xlws.FILTER('GRW GL ACCOUNT LIST'!$B$6:$B$35&amp;" - "&amp;'GRW GL ACCOUNT LIST'!$D$6:$D$35, 'GRW GL ACCOUNT LIST'!$C$6:$C$35=Table1[[#This Row],[TYPE]], " "))</f>
        <v>#VALUE!</v>
      </c>
    </row>
    <row r="106" spans="26:26">
      <c r="Z106" s="52" t="e" cm="1">
        <f t="array" ref="Z106">TRANSPOSE(_xlfn._xlws.FILTER('GRW GL ACCOUNT LIST'!$B$6:$B$35&amp;" - "&amp;'GRW GL ACCOUNT LIST'!$D$6:$D$35, 'GRW GL ACCOUNT LIST'!$C$6:$C$35=Table1[[#This Row],[TYPE]], " "))</f>
        <v>#VALUE!</v>
      </c>
    </row>
    <row r="107" spans="26:26">
      <c r="Z107" s="52" t="e" cm="1">
        <f t="array" ref="Z107">TRANSPOSE(_xlfn._xlws.FILTER('GRW GL ACCOUNT LIST'!$B$6:$B$35&amp;" - "&amp;'GRW GL ACCOUNT LIST'!$D$6:$D$35, 'GRW GL ACCOUNT LIST'!$C$6:$C$35=Table1[[#This Row],[TYPE]], " "))</f>
        <v>#VALUE!</v>
      </c>
    </row>
    <row r="108" spans="26:26">
      <c r="Z108" s="52" t="e" cm="1">
        <f t="array" ref="Z108">TRANSPOSE(_xlfn._xlws.FILTER('GRW GL ACCOUNT LIST'!$B$6:$B$35&amp;" - "&amp;'GRW GL ACCOUNT LIST'!$D$6:$D$35, 'GRW GL ACCOUNT LIST'!$C$6:$C$35=Table1[[#This Row],[TYPE]], " "))</f>
        <v>#VALUE!</v>
      </c>
    </row>
    <row r="109" spans="26:26">
      <c r="Z109" s="52" t="e" cm="1">
        <f t="array" ref="Z109">TRANSPOSE(_xlfn._xlws.FILTER('GRW GL ACCOUNT LIST'!$B$6:$B$35&amp;" - "&amp;'GRW GL ACCOUNT LIST'!$D$6:$D$35, 'GRW GL ACCOUNT LIST'!$C$6:$C$35=Table1[[#This Row],[TYPE]], " "))</f>
        <v>#VALUE!</v>
      </c>
    </row>
    <row r="110" spans="26:26">
      <c r="Z110" s="52" t="e" cm="1">
        <f t="array" ref="Z110">TRANSPOSE(_xlfn._xlws.FILTER('GRW GL ACCOUNT LIST'!$B$6:$B$35&amp;" - "&amp;'GRW GL ACCOUNT LIST'!$D$6:$D$35, 'GRW GL ACCOUNT LIST'!$C$6:$C$35=Table1[[#This Row],[TYPE]], " "))</f>
        <v>#VALUE!</v>
      </c>
    </row>
    <row r="111" spans="26:26">
      <c r="Z111" s="52" t="e" cm="1">
        <f t="array" ref="Z111">TRANSPOSE(_xlfn._xlws.FILTER('GRW GL ACCOUNT LIST'!$B$6:$B$35&amp;" - "&amp;'GRW GL ACCOUNT LIST'!$D$6:$D$35, 'GRW GL ACCOUNT LIST'!$C$6:$C$35=Table1[[#This Row],[TYPE]], " "))</f>
        <v>#VALUE!</v>
      </c>
    </row>
    <row r="112" spans="26:26">
      <c r="Z112" s="52" t="e" cm="1">
        <f t="array" ref="Z112">TRANSPOSE(_xlfn._xlws.FILTER('GRW GL ACCOUNT LIST'!$B$6:$B$35&amp;" - "&amp;'GRW GL ACCOUNT LIST'!$D$6:$D$35, 'GRW GL ACCOUNT LIST'!$C$6:$C$35=Table1[[#This Row],[TYPE]], " "))</f>
        <v>#VALUE!</v>
      </c>
    </row>
    <row r="113" spans="26:26">
      <c r="Z113" s="52" t="e" cm="1">
        <f t="array" ref="Z113">TRANSPOSE(_xlfn._xlws.FILTER('GRW GL ACCOUNT LIST'!$B$6:$B$35&amp;" - "&amp;'GRW GL ACCOUNT LIST'!$D$6:$D$35, 'GRW GL ACCOUNT LIST'!$C$6:$C$35=Table1[[#This Row],[TYPE]], " "))</f>
        <v>#VALUE!</v>
      </c>
    </row>
  </sheetData>
  <sheetProtection sheet="1" objects="1" scenarios="1"/>
  <mergeCells count="23">
    <mergeCell ref="G2:H3"/>
    <mergeCell ref="A1:I1"/>
    <mergeCell ref="D10:F10"/>
    <mergeCell ref="A11:B11"/>
    <mergeCell ref="A12:B12"/>
    <mergeCell ref="A10:B10"/>
    <mergeCell ref="A9:B9"/>
    <mergeCell ref="A4:B4"/>
    <mergeCell ref="G4:I4"/>
    <mergeCell ref="E7:F7"/>
    <mergeCell ref="E8:F8"/>
    <mergeCell ref="C2:F3"/>
    <mergeCell ref="A2:A3"/>
    <mergeCell ref="I2:I3"/>
    <mergeCell ref="B2:B3"/>
    <mergeCell ref="C4:F4"/>
    <mergeCell ref="A5:C5"/>
    <mergeCell ref="D9:F9"/>
    <mergeCell ref="A6:C6"/>
    <mergeCell ref="D5:F5"/>
    <mergeCell ref="D6:F6"/>
    <mergeCell ref="A8:C8"/>
    <mergeCell ref="A7:C7"/>
  </mergeCells>
  <phoneticPr fontId="8" type="noConversion"/>
  <dataValidations disablePrompts="1" count="4">
    <dataValidation type="list" allowBlank="1" showInputMessage="1" showErrorMessage="1" sqref="D10:F10" xr:uid="{E07D6D9E-4B85-4825-9748-96AB00E7BF3F}">
      <formula1>"One-time: For a single delivery, Monthly: For regular monthly deliveries, Quarterly: For every 3 months, Custom: For other cases (e.g 2 or 3 or 4 times per year)"</formula1>
    </dataValidation>
    <dataValidation type="list" allowBlank="1" showInputMessage="1" showErrorMessage="1" sqref="C12" xr:uid="{521D4310-1987-4291-A496-993CA2FF4D83}">
      <formula1>"OPEX (Cost Center), PROJECT (WBS)"</formula1>
    </dataValidation>
    <dataValidation type="list" allowBlank="1" showInputMessage="1" showErrorMessage="1" sqref="A14:A23" xr:uid="{F83FCADA-DF67-4AA7-8024-F5FE18EBE1F6}">
      <formula1>"Goods, Service"</formula1>
    </dataValidation>
    <dataValidation type="list" errorStyle="information" allowBlank="1" showInputMessage="1" showErrorMessage="1" errorTitle="Change GL code" error="Would you like to change the GL code? This action may affect existing entries." sqref="C14:C23" xr:uid="{5FCBEFB9-6CE7-40FB-BA2F-09809BFE2317}">
      <formula1>CurrentGLs</formula1>
    </dataValidation>
  </dataValidations>
  <pageMargins left="0.7" right="0.7" top="0.75" bottom="0.75" header="0.3" footer="0.3"/>
  <pageSetup orientation="portrait" r:id="rId1"/>
  <headerFooter>
    <oddFooter>&amp;C_x000D_&amp;1#&amp;"Calibri"&amp;10&amp;K000000 Classified - Confidential</oddFooter>
  </headerFooter>
  <customProperties>
    <customPr name="EpmWorksheetKeyString_GUID" r:id="rId2"/>
  </customProperties>
  <ignoredErrors>
    <ignoredError sqref="I24 I2" unlockedFormula="1"/>
  </ignoredErrors>
  <drawing r:id="rId3"/>
  <legacyDrawing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280CE9DB-5C84-4A06-9765-1C45B491EE9F}">
          <x14:formula1>
            <xm:f>_xlfn.ANCHORARRAY('GRW COSTCENTERS'!$P$2)</xm:f>
          </x14:formula1>
          <xm:sqref>L13</xm:sqref>
        </x14:dataValidation>
        <x14:dataValidation type="list" allowBlank="1" showInputMessage="1" showErrorMessage="1" xr:uid="{8CF2D8DC-592B-438D-BA2D-1D81657080F4}">
          <x14:formula1>
            <xm:f>_xlfn.ANCHORARRAY('GRW COSTCENTERS'!$N$2)</xm:f>
          </x14:formula1>
          <xm:sqref>B2</xm:sqref>
        </x14:dataValidation>
        <x14:dataValidation type="list" errorStyle="warning" allowBlank="1" showInputMessage="1" showErrorMessage="1" errorTitle="Please Enter Local Currency" xr:uid="{471EDF40-96A3-465A-B4FD-AE0B84B69222}">
          <x14:formula1>
            <xm:f>_xlfn.ANCHORARRAY('GRW COSTCENTERS'!$N$13)</xm:f>
          </x14:formula1>
          <xm:sqref>C10</xm:sqref>
        </x14:dataValidation>
        <x14:dataValidation type="list" errorStyle="information" allowBlank="1" showInputMessage="1" showErrorMessage="1" xr:uid="{42328F8F-5250-4A67-AE7E-1CEF91301101}">
          <x14:formula1>
            <xm:f>_xlfn.ANCHORARRAY('GRW COSTCENTERS'!$P$2)</xm:f>
          </x14:formula1>
          <xm:sqref>E7</xm:sqref>
        </x14:dataValidation>
        <x14:dataValidation type="list" errorStyle="information" allowBlank="1" showInputMessage="1" showErrorMessage="1" errorTitle="Cost Center Change" error="Would you like to change the Cost Center ? This action may affect existing entries." xr:uid="{4AFF94FE-9B81-4F97-9380-766BBBBED255}">
          <x14:formula1>
            <xm:f>_xlfn.ANCHORARRAY('GRW COSTCENTERS'!$S$2)</xm:f>
          </x14:formula1>
          <xm:sqref>F14:F23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1D090-1346-4332-89E5-1F0198DB6847}">
  <sheetPr codeName="Sheet2">
    <tabColor rgb="FFB3FFD5"/>
  </sheetPr>
  <dimension ref="A1:F35"/>
  <sheetViews>
    <sheetView workbookViewId="0"/>
  </sheetViews>
  <sheetFormatPr defaultRowHeight="13.15" customHeight="1"/>
  <cols>
    <col min="1" max="1" width="16.42578125" customWidth="1"/>
    <col min="2" max="2" width="14.7109375" style="21" customWidth="1"/>
    <col min="3" max="3" width="17.42578125" customWidth="1"/>
    <col min="4" max="4" width="39.28515625" customWidth="1"/>
    <col min="5" max="5" width="91.140625" bestFit="1" customWidth="1"/>
    <col min="6" max="6" width="28.28515625" bestFit="1" customWidth="1"/>
  </cols>
  <sheetData>
    <row r="1" spans="1:6" ht="13.15" customHeight="1">
      <c r="A1" s="1" t="s">
        <v>2</v>
      </c>
      <c r="B1" s="7" t="s">
        <v>81</v>
      </c>
      <c r="C1" s="1" t="s">
        <v>141</v>
      </c>
      <c r="D1" s="1" t="s">
        <v>82</v>
      </c>
      <c r="E1" s="1" t="s">
        <v>83</v>
      </c>
      <c r="F1" s="1" t="s">
        <v>283</v>
      </c>
    </row>
    <row r="2" spans="1:6" ht="15">
      <c r="A2" s="5" t="s">
        <v>434</v>
      </c>
      <c r="B2" s="9">
        <v>60301100</v>
      </c>
      <c r="C2" s="5" t="s">
        <v>7</v>
      </c>
      <c r="D2" s="2" t="s">
        <v>11</v>
      </c>
      <c r="E2" s="8" t="s">
        <v>433</v>
      </c>
      <c r="F2" t="s">
        <v>427</v>
      </c>
    </row>
    <row r="3" spans="1:6" ht="15">
      <c r="A3" t="s">
        <v>434</v>
      </c>
      <c r="B3" s="21">
        <v>63009300</v>
      </c>
      <c r="C3" t="s">
        <v>6</v>
      </c>
      <c r="D3" t="s">
        <v>1551</v>
      </c>
      <c r="E3" t="s">
        <v>437</v>
      </c>
      <c r="F3" t="s">
        <v>428</v>
      </c>
    </row>
    <row r="4" spans="1:6" ht="15">
      <c r="A4" s="5" t="s">
        <v>435</v>
      </c>
      <c r="B4" s="6">
        <v>67020200</v>
      </c>
      <c r="C4" s="5" t="s">
        <v>7</v>
      </c>
      <c r="D4" s="5" t="s">
        <v>431</v>
      </c>
      <c r="E4" s="8" t="s">
        <v>432</v>
      </c>
      <c r="F4" t="s">
        <v>429</v>
      </c>
    </row>
    <row r="5" spans="1:6" ht="15">
      <c r="A5" s="5" t="s">
        <v>435</v>
      </c>
      <c r="B5" s="6">
        <v>67020200</v>
      </c>
      <c r="C5" t="s">
        <v>6</v>
      </c>
      <c r="D5" s="5" t="s">
        <v>142</v>
      </c>
      <c r="E5" s="8" t="s">
        <v>143</v>
      </c>
      <c r="F5" t="s">
        <v>430</v>
      </c>
    </row>
    <row r="6" spans="1:6" ht="15">
      <c r="A6" s="2" t="s">
        <v>436</v>
      </c>
      <c r="B6" s="9">
        <v>60301100</v>
      </c>
      <c r="C6" s="5" t="s">
        <v>7</v>
      </c>
      <c r="D6" s="2" t="s">
        <v>11</v>
      </c>
      <c r="E6" s="3" t="s">
        <v>84</v>
      </c>
    </row>
    <row r="7" spans="1:6" ht="15">
      <c r="A7" s="2" t="s">
        <v>436</v>
      </c>
      <c r="B7" s="9">
        <v>61075100</v>
      </c>
      <c r="C7" t="s">
        <v>6</v>
      </c>
      <c r="D7" s="2" t="s">
        <v>9</v>
      </c>
      <c r="E7" s="4" t="s">
        <v>85</v>
      </c>
    </row>
    <row r="8" spans="1:6" ht="15">
      <c r="A8" s="2" t="s">
        <v>436</v>
      </c>
      <c r="B8" s="9">
        <v>63000000</v>
      </c>
      <c r="C8" s="5" t="s">
        <v>7</v>
      </c>
      <c r="D8" s="2" t="s">
        <v>8</v>
      </c>
      <c r="E8" s="5" t="s">
        <v>86</v>
      </c>
    </row>
    <row r="9" spans="1:6" ht="15">
      <c r="A9" s="2" t="s">
        <v>436</v>
      </c>
      <c r="B9" s="9">
        <v>63004400</v>
      </c>
      <c r="C9" s="5" t="s">
        <v>7</v>
      </c>
      <c r="D9" s="2" t="s">
        <v>15</v>
      </c>
      <c r="E9" s="5" t="s">
        <v>87</v>
      </c>
    </row>
    <row r="10" spans="1:6" ht="15">
      <c r="A10" s="2" t="s">
        <v>436</v>
      </c>
      <c r="B10" s="9">
        <v>63004600</v>
      </c>
      <c r="C10" s="9" t="s">
        <v>144</v>
      </c>
      <c r="D10" s="2" t="s">
        <v>24</v>
      </c>
      <c r="E10" s="5" t="s">
        <v>88</v>
      </c>
    </row>
    <row r="11" spans="1:6" ht="15">
      <c r="A11" s="2" t="s">
        <v>436</v>
      </c>
      <c r="B11" s="9">
        <v>63004700</v>
      </c>
      <c r="C11" s="5" t="s">
        <v>7</v>
      </c>
      <c r="D11" s="2" t="s">
        <v>16</v>
      </c>
      <c r="E11" s="5" t="s">
        <v>89</v>
      </c>
    </row>
    <row r="12" spans="1:6" ht="15">
      <c r="A12" s="2" t="s">
        <v>436</v>
      </c>
      <c r="B12" s="9">
        <v>63004800</v>
      </c>
      <c r="C12" s="5" t="s">
        <v>7</v>
      </c>
      <c r="D12" s="2" t="s">
        <v>18</v>
      </c>
      <c r="E12" s="5" t="s">
        <v>90</v>
      </c>
    </row>
    <row r="13" spans="1:6" ht="15">
      <c r="A13" s="2" t="s">
        <v>436</v>
      </c>
      <c r="B13" s="9">
        <v>63007600</v>
      </c>
      <c r="C13" s="5" t="s">
        <v>7</v>
      </c>
      <c r="D13" s="2" t="s">
        <v>12</v>
      </c>
      <c r="E13" s="5" t="s">
        <v>91</v>
      </c>
    </row>
    <row r="14" spans="1:6" ht="15">
      <c r="A14" s="2" t="s">
        <v>436</v>
      </c>
      <c r="B14" s="9">
        <v>63009100</v>
      </c>
      <c r="C14" s="5" t="s">
        <v>7</v>
      </c>
      <c r="D14" s="2" t="s">
        <v>22</v>
      </c>
      <c r="E14" s="5" t="s">
        <v>92</v>
      </c>
    </row>
    <row r="15" spans="1:6" ht="15">
      <c r="A15" s="2" t="s">
        <v>436</v>
      </c>
      <c r="B15" s="9">
        <v>63009300</v>
      </c>
      <c r="C15" t="s">
        <v>6</v>
      </c>
      <c r="D15" s="2" t="s">
        <v>23</v>
      </c>
      <c r="E15" s="5" t="s">
        <v>93</v>
      </c>
    </row>
    <row r="16" spans="1:6" ht="15">
      <c r="A16" s="2" t="s">
        <v>436</v>
      </c>
      <c r="B16" s="9">
        <v>64027000</v>
      </c>
      <c r="C16" s="5" t="s">
        <v>7</v>
      </c>
      <c r="D16" s="2" t="s">
        <v>94</v>
      </c>
      <c r="E16" s="5" t="s">
        <v>145</v>
      </c>
    </row>
    <row r="17" spans="1:6" ht="15">
      <c r="A17" s="2" t="s">
        <v>436</v>
      </c>
      <c r="B17" s="9">
        <v>63004300</v>
      </c>
      <c r="C17" s="5" t="s">
        <v>7</v>
      </c>
      <c r="D17" s="2" t="s">
        <v>17</v>
      </c>
      <c r="E17" s="5" t="s">
        <v>95</v>
      </c>
    </row>
    <row r="18" spans="1:6" ht="15">
      <c r="A18" s="2" t="s">
        <v>436</v>
      </c>
      <c r="B18" s="9">
        <v>63007300</v>
      </c>
      <c r="C18" s="5" t="s">
        <v>7</v>
      </c>
      <c r="D18" s="2" t="s">
        <v>96</v>
      </c>
      <c r="E18" s="4" t="s">
        <v>97</v>
      </c>
    </row>
    <row r="19" spans="1:6" ht="15">
      <c r="A19" s="2" t="s">
        <v>436</v>
      </c>
      <c r="B19" s="9">
        <v>63002100</v>
      </c>
      <c r="C19" s="5" t="s">
        <v>7</v>
      </c>
      <c r="D19" s="2" t="s">
        <v>14</v>
      </c>
      <c r="E19" s="5" t="s">
        <v>98</v>
      </c>
    </row>
    <row r="20" spans="1:6" ht="15">
      <c r="A20" s="2" t="s">
        <v>436</v>
      </c>
      <c r="B20" s="9">
        <v>64027200</v>
      </c>
      <c r="C20" s="5" t="s">
        <v>7</v>
      </c>
      <c r="D20" s="2" t="s">
        <v>30</v>
      </c>
      <c r="E20" s="5" t="s">
        <v>99</v>
      </c>
    </row>
    <row r="21" spans="1:6" ht="15">
      <c r="A21" s="2" t="s">
        <v>436</v>
      </c>
      <c r="B21" s="9">
        <v>63008500</v>
      </c>
      <c r="C21" s="5" t="s">
        <v>7</v>
      </c>
      <c r="D21" s="2" t="s">
        <v>28</v>
      </c>
      <c r="E21" s="5" t="s">
        <v>100</v>
      </c>
    </row>
    <row r="22" spans="1:6" ht="15">
      <c r="A22" s="2" t="s">
        <v>436</v>
      </c>
      <c r="B22" s="9">
        <v>64022000</v>
      </c>
      <c r="C22" s="5" t="s">
        <v>7</v>
      </c>
      <c r="D22" s="2" t="s">
        <v>20</v>
      </c>
      <c r="E22" s="5" t="s">
        <v>101</v>
      </c>
    </row>
    <row r="23" spans="1:6" ht="15">
      <c r="A23" s="2" t="s">
        <v>436</v>
      </c>
      <c r="B23" s="9">
        <v>61301100</v>
      </c>
      <c r="C23" t="s">
        <v>6</v>
      </c>
      <c r="D23" s="2" t="s">
        <v>10</v>
      </c>
      <c r="E23" s="4" t="s">
        <v>146</v>
      </c>
      <c r="F23" t="s">
        <v>147</v>
      </c>
    </row>
    <row r="24" spans="1:6" ht="15">
      <c r="A24" s="2" t="s">
        <v>436</v>
      </c>
      <c r="B24" s="9">
        <v>63004900</v>
      </c>
      <c r="C24" s="9" t="s">
        <v>144</v>
      </c>
      <c r="D24" s="2" t="s">
        <v>13</v>
      </c>
      <c r="E24" s="5" t="s">
        <v>102</v>
      </c>
    </row>
    <row r="25" spans="1:6" ht="15">
      <c r="A25" s="2" t="s">
        <v>436</v>
      </c>
      <c r="B25" s="9">
        <v>64021500</v>
      </c>
      <c r="C25" s="5" t="s">
        <v>7</v>
      </c>
      <c r="D25" s="2" t="s">
        <v>21</v>
      </c>
      <c r="E25" s="5" t="s">
        <v>103</v>
      </c>
    </row>
    <row r="26" spans="1:6" ht="15">
      <c r="A26" s="2" t="s">
        <v>436</v>
      </c>
      <c r="B26" s="9">
        <v>64009000</v>
      </c>
      <c r="C26" s="9" t="s">
        <v>144</v>
      </c>
      <c r="D26" s="2" t="s">
        <v>27</v>
      </c>
      <c r="E26" s="5" t="s">
        <v>104</v>
      </c>
    </row>
    <row r="27" spans="1:6" ht="15">
      <c r="A27" s="2" t="s">
        <v>436</v>
      </c>
      <c r="B27" s="9">
        <v>63002300</v>
      </c>
      <c r="C27" s="5" t="s">
        <v>7</v>
      </c>
      <c r="D27" s="2" t="s">
        <v>105</v>
      </c>
      <c r="E27" s="5" t="s">
        <v>106</v>
      </c>
    </row>
    <row r="28" spans="1:6" ht="15">
      <c r="A28" s="2" t="s">
        <v>436</v>
      </c>
      <c r="B28" s="9">
        <v>63002200</v>
      </c>
      <c r="C28" s="5" t="s">
        <v>7</v>
      </c>
      <c r="D28" s="2" t="s">
        <v>107</v>
      </c>
      <c r="E28" s="5" t="s">
        <v>108</v>
      </c>
    </row>
    <row r="29" spans="1:6" ht="15">
      <c r="A29" s="2" t="s">
        <v>436</v>
      </c>
      <c r="B29" s="9">
        <v>63001000</v>
      </c>
      <c r="C29" s="5" t="s">
        <v>7</v>
      </c>
      <c r="D29" s="2" t="s">
        <v>109</v>
      </c>
      <c r="E29" s="5" t="s">
        <v>110</v>
      </c>
    </row>
    <row r="30" spans="1:6" ht="15">
      <c r="A30" s="2" t="s">
        <v>436</v>
      </c>
      <c r="B30" s="9">
        <v>63010100</v>
      </c>
      <c r="C30" s="5" t="s">
        <v>7</v>
      </c>
      <c r="D30" s="2" t="s">
        <v>25</v>
      </c>
      <c r="E30" s="5" t="s">
        <v>111</v>
      </c>
    </row>
    <row r="31" spans="1:6" ht="15">
      <c r="A31" s="2" t="s">
        <v>436</v>
      </c>
      <c r="B31" s="9">
        <v>64000000</v>
      </c>
      <c r="C31" s="5" t="s">
        <v>7</v>
      </c>
      <c r="D31" s="2" t="s">
        <v>19</v>
      </c>
      <c r="E31" s="5" t="s">
        <v>112</v>
      </c>
    </row>
    <row r="32" spans="1:6" ht="15">
      <c r="A32" s="2" t="s">
        <v>436</v>
      </c>
      <c r="B32" s="9">
        <v>64007200</v>
      </c>
      <c r="C32" s="5" t="s">
        <v>7</v>
      </c>
      <c r="D32" s="2" t="s">
        <v>113</v>
      </c>
      <c r="E32" s="5" t="s">
        <v>114</v>
      </c>
    </row>
    <row r="33" spans="1:5" ht="15">
      <c r="A33" s="2" t="s">
        <v>436</v>
      </c>
      <c r="B33" s="9">
        <v>63010100</v>
      </c>
      <c r="C33" s="5" t="s">
        <v>7</v>
      </c>
      <c r="D33" s="2" t="s">
        <v>26</v>
      </c>
      <c r="E33" s="5" t="s">
        <v>115</v>
      </c>
    </row>
    <row r="34" spans="1:5" ht="15">
      <c r="A34" s="2" t="s">
        <v>436</v>
      </c>
      <c r="B34" s="10">
        <v>63007200</v>
      </c>
      <c r="C34" s="5" t="s">
        <v>7</v>
      </c>
      <c r="D34" s="5" t="s">
        <v>29</v>
      </c>
      <c r="E34" s="5" t="s">
        <v>148</v>
      </c>
    </row>
    <row r="35" spans="1:5" ht="15">
      <c r="A35" s="2" t="s">
        <v>436</v>
      </c>
      <c r="B35" s="9">
        <v>63009000</v>
      </c>
      <c r="C35" s="5" t="s">
        <v>7</v>
      </c>
      <c r="D35" s="2" t="s">
        <v>149</v>
      </c>
      <c r="E35" s="5" t="s">
        <v>150</v>
      </c>
    </row>
  </sheetData>
  <phoneticPr fontId="8" type="noConversion"/>
  <pageMargins left="0.7" right="0.7" top="0.75" bottom="0.75" header="0.3" footer="0.3"/>
  <pageSetup paperSize="9" orientation="portrait" r:id="rId1"/>
  <headerFooter>
    <oddFooter>&amp;C_x000D_&amp;1#&amp;"Calibri"&amp;10&amp;K000000 Classified - 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8FC3F-FB3D-4EF2-B246-EF91588D0085}">
  <sheetPr codeName="Sheet3"/>
  <dimension ref="A1:H481"/>
  <sheetViews>
    <sheetView workbookViewId="0"/>
  </sheetViews>
  <sheetFormatPr defaultRowHeight="15"/>
  <cols>
    <col min="1" max="1" width="8.5703125" bestFit="1" customWidth="1"/>
    <col min="2" max="2" width="57.7109375" bestFit="1" customWidth="1"/>
    <col min="3" max="3" width="55.42578125" bestFit="1" customWidth="1"/>
    <col min="4" max="4" width="8.7109375" bestFit="1" customWidth="1"/>
    <col min="5" max="5" width="22.85546875" bestFit="1" customWidth="1"/>
    <col min="6" max="6" width="11.5703125" customWidth="1"/>
    <col min="7" max="7" width="23.85546875" bestFit="1" customWidth="1"/>
  </cols>
  <sheetData>
    <row r="1" spans="1:8" ht="27" thickBot="1">
      <c r="A1" s="20"/>
      <c r="B1" s="22" t="s">
        <v>156</v>
      </c>
      <c r="C1" s="23" t="s">
        <v>438</v>
      </c>
      <c r="D1" s="20"/>
      <c r="E1" s="20"/>
      <c r="F1" s="20"/>
      <c r="G1" s="20"/>
    </row>
    <row r="2" spans="1:8">
      <c r="A2" s="20"/>
      <c r="B2" s="24" t="s">
        <v>439</v>
      </c>
      <c r="C2" s="20"/>
      <c r="D2" s="20"/>
      <c r="E2" s="20"/>
      <c r="F2" s="20"/>
      <c r="G2" s="20"/>
    </row>
    <row r="3" spans="1:8">
      <c r="A3" s="20"/>
      <c r="B3" s="24"/>
      <c r="C3" s="20"/>
      <c r="D3" s="20"/>
      <c r="E3" s="20"/>
      <c r="F3" s="20"/>
      <c r="G3" s="20"/>
    </row>
    <row r="4" spans="1:8" ht="25.5">
      <c r="A4" s="25" t="s">
        <v>440</v>
      </c>
      <c r="B4" s="26" t="s">
        <v>441</v>
      </c>
      <c r="C4" s="25" t="s">
        <v>442</v>
      </c>
      <c r="D4" s="27" t="s">
        <v>443</v>
      </c>
      <c r="E4" s="27" t="s">
        <v>444</v>
      </c>
      <c r="F4" s="28" t="s">
        <v>116</v>
      </c>
      <c r="G4" s="28" t="s">
        <v>445</v>
      </c>
    </row>
    <row r="5" spans="1:8">
      <c r="A5" s="29">
        <v>1</v>
      </c>
      <c r="B5" s="30" t="s">
        <v>446</v>
      </c>
      <c r="C5" s="31" t="s">
        <v>447</v>
      </c>
      <c r="D5" s="32">
        <v>1</v>
      </c>
      <c r="E5" s="31" t="s">
        <v>448</v>
      </c>
      <c r="F5" s="33">
        <v>1</v>
      </c>
      <c r="G5" s="31" t="s">
        <v>449</v>
      </c>
      <c r="H5" t="s">
        <v>1545</v>
      </c>
    </row>
    <row r="6" spans="1:8">
      <c r="A6" s="29">
        <v>8</v>
      </c>
      <c r="B6" s="30" t="s">
        <v>450</v>
      </c>
      <c r="C6" s="31" t="s">
        <v>451</v>
      </c>
      <c r="D6" s="32">
        <v>2</v>
      </c>
      <c r="E6" s="31" t="s">
        <v>452</v>
      </c>
      <c r="F6" s="33">
        <v>801</v>
      </c>
      <c r="G6" s="31" t="s">
        <v>453</v>
      </c>
      <c r="H6" t="s">
        <v>342</v>
      </c>
    </row>
    <row r="7" spans="1:8">
      <c r="A7" s="29">
        <v>8</v>
      </c>
      <c r="B7" s="30" t="s">
        <v>450</v>
      </c>
      <c r="C7" s="31" t="s">
        <v>451</v>
      </c>
      <c r="D7" s="32">
        <v>10</v>
      </c>
      <c r="E7" s="31" t="s">
        <v>454</v>
      </c>
      <c r="F7" s="33">
        <v>801</v>
      </c>
      <c r="G7" s="31" t="s">
        <v>453</v>
      </c>
      <c r="H7" t="s">
        <v>342</v>
      </c>
    </row>
    <row r="8" spans="1:8">
      <c r="A8" s="29">
        <v>10</v>
      </c>
      <c r="B8" s="30" t="s">
        <v>455</v>
      </c>
      <c r="C8" s="31" t="s">
        <v>456</v>
      </c>
      <c r="D8" s="32">
        <v>10</v>
      </c>
      <c r="E8" s="31" t="s">
        <v>454</v>
      </c>
      <c r="F8" s="33">
        <v>670</v>
      </c>
      <c r="G8" s="31" t="s">
        <v>457</v>
      </c>
      <c r="H8" t="s">
        <v>342</v>
      </c>
    </row>
    <row r="9" spans="1:8">
      <c r="A9" s="29">
        <v>14</v>
      </c>
      <c r="B9" s="30" t="s">
        <v>461</v>
      </c>
      <c r="C9" s="31" t="s">
        <v>462</v>
      </c>
      <c r="D9" s="32">
        <v>4</v>
      </c>
      <c r="E9" s="31" t="s">
        <v>463</v>
      </c>
      <c r="F9" s="33">
        <v>1758</v>
      </c>
      <c r="G9" s="31" t="s">
        <v>464</v>
      </c>
      <c r="H9" t="s">
        <v>118</v>
      </c>
    </row>
    <row r="10" spans="1:8">
      <c r="A10" s="29">
        <v>15</v>
      </c>
      <c r="B10" s="30" t="s">
        <v>465</v>
      </c>
      <c r="C10" s="31" t="s">
        <v>466</v>
      </c>
      <c r="D10" s="32">
        <v>11</v>
      </c>
      <c r="E10" s="31" t="s">
        <v>467</v>
      </c>
      <c r="F10" s="33">
        <v>1653</v>
      </c>
      <c r="G10" s="31" t="s">
        <v>468</v>
      </c>
      <c r="H10" t="s">
        <v>118</v>
      </c>
    </row>
    <row r="11" spans="1:8">
      <c r="A11" s="29">
        <v>16</v>
      </c>
      <c r="B11" s="30" t="s">
        <v>469</v>
      </c>
      <c r="C11" s="31" t="s">
        <v>470</v>
      </c>
      <c r="D11" s="32">
        <v>3</v>
      </c>
      <c r="E11" s="31" t="s">
        <v>458</v>
      </c>
      <c r="F11" s="33">
        <v>1732</v>
      </c>
      <c r="G11" s="31" t="s">
        <v>459</v>
      </c>
      <c r="H11" t="s">
        <v>118</v>
      </c>
    </row>
    <row r="12" spans="1:8">
      <c r="A12" s="29">
        <v>19</v>
      </c>
      <c r="B12" s="30" t="s">
        <v>471</v>
      </c>
      <c r="C12" s="31" t="s">
        <v>456</v>
      </c>
      <c r="D12" s="32">
        <v>10</v>
      </c>
      <c r="E12" s="31" t="s">
        <v>454</v>
      </c>
      <c r="F12" s="33">
        <v>911</v>
      </c>
      <c r="G12" s="31" t="s">
        <v>472</v>
      </c>
      <c r="H12" t="s">
        <v>342</v>
      </c>
    </row>
    <row r="13" spans="1:8">
      <c r="A13" s="29">
        <v>22</v>
      </c>
      <c r="B13" s="30" t="s">
        <v>473</v>
      </c>
      <c r="C13" s="31" t="s">
        <v>456</v>
      </c>
      <c r="D13" s="32">
        <v>10</v>
      </c>
      <c r="E13" s="31" t="s">
        <v>454</v>
      </c>
      <c r="F13" s="33">
        <v>913</v>
      </c>
      <c r="G13" s="31" t="s">
        <v>474</v>
      </c>
      <c r="H13" t="s">
        <v>342</v>
      </c>
    </row>
    <row r="14" spans="1:8">
      <c r="A14" s="29">
        <v>24</v>
      </c>
      <c r="B14" s="30" t="s">
        <v>475</v>
      </c>
      <c r="C14" s="31" t="s">
        <v>476</v>
      </c>
      <c r="D14" s="32">
        <v>14</v>
      </c>
      <c r="E14" s="31" t="s">
        <v>477</v>
      </c>
      <c r="F14" s="33">
        <v>1666</v>
      </c>
      <c r="G14" s="31" t="s">
        <v>478</v>
      </c>
      <c r="H14" t="s">
        <v>118</v>
      </c>
    </row>
    <row r="15" spans="1:8">
      <c r="A15" s="29">
        <v>25</v>
      </c>
      <c r="B15" s="30" t="s">
        <v>479</v>
      </c>
      <c r="C15" s="31" t="s">
        <v>476</v>
      </c>
      <c r="D15" s="32">
        <v>14</v>
      </c>
      <c r="E15" s="31" t="s">
        <v>477</v>
      </c>
      <c r="F15" s="33">
        <v>1666</v>
      </c>
      <c r="G15" s="31" t="s">
        <v>478</v>
      </c>
      <c r="H15" t="s">
        <v>118</v>
      </c>
    </row>
    <row r="16" spans="1:8">
      <c r="A16" s="29">
        <v>34</v>
      </c>
      <c r="B16" s="30" t="s">
        <v>480</v>
      </c>
      <c r="C16" s="31" t="s">
        <v>481</v>
      </c>
      <c r="D16" s="32">
        <v>17</v>
      </c>
      <c r="E16" s="31" t="s">
        <v>482</v>
      </c>
      <c r="F16" s="33">
        <v>1804</v>
      </c>
      <c r="G16" s="31" t="s">
        <v>483</v>
      </c>
      <c r="H16" t="s">
        <v>118</v>
      </c>
    </row>
    <row r="17" spans="1:8">
      <c r="A17" s="29">
        <v>35</v>
      </c>
      <c r="B17" s="30" t="s">
        <v>484</v>
      </c>
      <c r="C17" s="31" t="s">
        <v>485</v>
      </c>
      <c r="D17" s="32">
        <v>18</v>
      </c>
      <c r="E17" s="31" t="s">
        <v>486</v>
      </c>
      <c r="F17" s="33">
        <v>1802</v>
      </c>
      <c r="G17" s="31" t="s">
        <v>487</v>
      </c>
      <c r="H17" t="s">
        <v>118</v>
      </c>
    </row>
    <row r="18" spans="1:8">
      <c r="A18" s="29">
        <v>36</v>
      </c>
      <c r="B18" s="30" t="s">
        <v>488</v>
      </c>
      <c r="C18" s="31" t="s">
        <v>489</v>
      </c>
      <c r="D18" s="32">
        <v>19</v>
      </c>
      <c r="E18" s="31" t="s">
        <v>490</v>
      </c>
      <c r="F18" s="33">
        <v>1588</v>
      </c>
      <c r="G18" s="31" t="s">
        <v>491</v>
      </c>
      <c r="H18" t="s">
        <v>118</v>
      </c>
    </row>
    <row r="19" spans="1:8">
      <c r="A19" s="29">
        <v>46</v>
      </c>
      <c r="B19" s="30" t="s">
        <v>492</v>
      </c>
      <c r="C19" s="31" t="s">
        <v>493</v>
      </c>
      <c r="D19" s="32">
        <v>15</v>
      </c>
      <c r="E19" s="31" t="s">
        <v>494</v>
      </c>
      <c r="F19" s="33">
        <v>1006</v>
      </c>
      <c r="G19" s="31" t="s">
        <v>495</v>
      </c>
      <c r="H19" t="s">
        <v>118</v>
      </c>
    </row>
    <row r="20" spans="1:8">
      <c r="A20" s="29">
        <v>47</v>
      </c>
      <c r="B20" s="30" t="s">
        <v>496</v>
      </c>
      <c r="C20" s="31" t="s">
        <v>497</v>
      </c>
      <c r="D20" s="32">
        <v>28</v>
      </c>
      <c r="E20" s="31" t="s">
        <v>498</v>
      </c>
      <c r="F20" s="33">
        <v>7009</v>
      </c>
      <c r="G20" s="31" t="s">
        <v>499</v>
      </c>
      <c r="H20" t="s">
        <v>342</v>
      </c>
    </row>
    <row r="21" spans="1:8">
      <c r="A21" s="29">
        <v>53</v>
      </c>
      <c r="B21" s="30" t="s">
        <v>502</v>
      </c>
      <c r="C21" s="31" t="s">
        <v>500</v>
      </c>
      <c r="D21" s="32">
        <v>21</v>
      </c>
      <c r="E21" s="31" t="s">
        <v>503</v>
      </c>
      <c r="F21" s="33">
        <v>1557</v>
      </c>
      <c r="G21" s="31" t="s">
        <v>504</v>
      </c>
      <c r="H21" t="s">
        <v>118</v>
      </c>
    </row>
    <row r="22" spans="1:8">
      <c r="A22" s="29">
        <v>54</v>
      </c>
      <c r="B22" s="30" t="s">
        <v>505</v>
      </c>
      <c r="C22" s="31" t="s">
        <v>501</v>
      </c>
      <c r="D22" s="32">
        <v>22</v>
      </c>
      <c r="E22" s="31" t="s">
        <v>506</v>
      </c>
      <c r="F22" s="33">
        <v>1583</v>
      </c>
      <c r="G22" s="31" t="s">
        <v>507</v>
      </c>
      <c r="H22" t="s">
        <v>118</v>
      </c>
    </row>
    <row r="23" spans="1:8">
      <c r="A23" s="29">
        <v>55</v>
      </c>
      <c r="B23" s="30" t="s">
        <v>508</v>
      </c>
      <c r="C23" s="31" t="s">
        <v>501</v>
      </c>
      <c r="D23" s="32">
        <v>22</v>
      </c>
      <c r="E23" s="31" t="s">
        <v>506</v>
      </c>
      <c r="F23" s="33">
        <v>1583</v>
      </c>
      <c r="G23" s="31" t="s">
        <v>507</v>
      </c>
      <c r="H23" t="s">
        <v>118</v>
      </c>
    </row>
    <row r="24" spans="1:8">
      <c r="A24" s="29">
        <v>56</v>
      </c>
      <c r="B24" s="30" t="s">
        <v>509</v>
      </c>
      <c r="C24" s="31" t="s">
        <v>510</v>
      </c>
      <c r="D24" s="32">
        <v>23</v>
      </c>
      <c r="E24" s="31" t="s">
        <v>511</v>
      </c>
      <c r="F24" s="33">
        <v>1811</v>
      </c>
      <c r="G24" s="31" t="s">
        <v>512</v>
      </c>
      <c r="H24" t="s">
        <v>118</v>
      </c>
    </row>
    <row r="25" spans="1:8">
      <c r="A25" s="29">
        <v>58</v>
      </c>
      <c r="B25" s="30" t="s">
        <v>513</v>
      </c>
      <c r="C25" s="31" t="s">
        <v>500</v>
      </c>
      <c r="D25" s="32">
        <v>25</v>
      </c>
      <c r="E25" s="31" t="s">
        <v>514</v>
      </c>
      <c r="F25" s="33">
        <v>1701</v>
      </c>
      <c r="G25" s="31" t="s">
        <v>515</v>
      </c>
      <c r="H25" t="s">
        <v>118</v>
      </c>
    </row>
    <row r="26" spans="1:8">
      <c r="A26" s="29">
        <v>61</v>
      </c>
      <c r="B26" s="30" t="s">
        <v>516</v>
      </c>
      <c r="C26" s="31" t="s">
        <v>500</v>
      </c>
      <c r="D26" s="32">
        <v>21</v>
      </c>
      <c r="E26" s="31" t="s">
        <v>503</v>
      </c>
      <c r="F26" s="33">
        <v>1557</v>
      </c>
      <c r="G26" s="31" t="s">
        <v>504</v>
      </c>
      <c r="H26" t="s">
        <v>118</v>
      </c>
    </row>
    <row r="27" spans="1:8">
      <c r="A27" s="29">
        <v>71</v>
      </c>
      <c r="B27" s="30" t="s">
        <v>517</v>
      </c>
      <c r="C27" s="31" t="s">
        <v>518</v>
      </c>
      <c r="D27" s="32">
        <v>40</v>
      </c>
      <c r="E27" s="31" t="s">
        <v>344</v>
      </c>
      <c r="F27" s="33">
        <v>1551</v>
      </c>
      <c r="G27" s="31" t="s">
        <v>519</v>
      </c>
      <c r="H27" t="s">
        <v>342</v>
      </c>
    </row>
    <row r="28" spans="1:8">
      <c r="A28" s="29">
        <v>72</v>
      </c>
      <c r="B28" s="30" t="s">
        <v>520</v>
      </c>
      <c r="C28" s="31" t="s">
        <v>521</v>
      </c>
      <c r="D28" s="32">
        <v>32</v>
      </c>
      <c r="E28" s="31" t="s">
        <v>522</v>
      </c>
      <c r="F28" s="33">
        <v>1530</v>
      </c>
      <c r="G28" s="31" t="s">
        <v>523</v>
      </c>
      <c r="H28" t="s">
        <v>118</v>
      </c>
    </row>
    <row r="29" spans="1:8">
      <c r="A29" s="29">
        <v>75</v>
      </c>
      <c r="B29" s="30" t="s">
        <v>524</v>
      </c>
      <c r="C29" s="31" t="s">
        <v>521</v>
      </c>
      <c r="D29" s="32">
        <v>35</v>
      </c>
      <c r="E29" s="31" t="s">
        <v>525</v>
      </c>
      <c r="F29" s="33">
        <v>5956</v>
      </c>
      <c r="G29" s="31" t="s">
        <v>526</v>
      </c>
      <c r="H29" t="s">
        <v>118</v>
      </c>
    </row>
    <row r="30" spans="1:8">
      <c r="A30" s="29">
        <v>81</v>
      </c>
      <c r="B30" s="30" t="s">
        <v>527</v>
      </c>
      <c r="C30" s="31" t="s">
        <v>528</v>
      </c>
      <c r="D30" s="32">
        <v>38</v>
      </c>
      <c r="E30" s="31" t="s">
        <v>529</v>
      </c>
      <c r="F30" s="33">
        <v>1575</v>
      </c>
      <c r="G30" s="31" t="s">
        <v>530</v>
      </c>
      <c r="H30" t="s">
        <v>118</v>
      </c>
    </row>
    <row r="31" spans="1:8">
      <c r="A31" s="29">
        <v>83</v>
      </c>
      <c r="B31" s="30" t="s">
        <v>531</v>
      </c>
      <c r="C31" s="31" t="s">
        <v>532</v>
      </c>
      <c r="D31" s="32">
        <v>39</v>
      </c>
      <c r="E31" s="31" t="s">
        <v>533</v>
      </c>
      <c r="F31" s="33">
        <v>1081</v>
      </c>
      <c r="G31" s="31" t="s">
        <v>534</v>
      </c>
      <c r="H31" t="s">
        <v>117</v>
      </c>
    </row>
    <row r="32" spans="1:8">
      <c r="A32" s="29">
        <v>84</v>
      </c>
      <c r="B32" s="30" t="s">
        <v>535</v>
      </c>
      <c r="C32" s="31" t="s">
        <v>536</v>
      </c>
      <c r="D32" s="32">
        <v>39</v>
      </c>
      <c r="E32" s="31" t="s">
        <v>533</v>
      </c>
      <c r="F32" s="33">
        <v>1648</v>
      </c>
      <c r="G32" s="31" t="s">
        <v>537</v>
      </c>
      <c r="H32" t="s">
        <v>117</v>
      </c>
    </row>
    <row r="33" spans="1:8">
      <c r="A33" s="29">
        <v>94</v>
      </c>
      <c r="B33" s="30" t="s">
        <v>538</v>
      </c>
      <c r="C33" s="31" t="s">
        <v>539</v>
      </c>
      <c r="D33" s="32">
        <v>41</v>
      </c>
      <c r="E33" s="31" t="s">
        <v>540</v>
      </c>
      <c r="F33" s="33">
        <v>1072</v>
      </c>
      <c r="G33" s="31" t="s">
        <v>541</v>
      </c>
      <c r="H33" t="s">
        <v>118</v>
      </c>
    </row>
    <row r="34" spans="1:8">
      <c r="A34" s="29">
        <v>96</v>
      </c>
      <c r="B34" s="30" t="s">
        <v>542</v>
      </c>
      <c r="C34" s="31" t="s">
        <v>543</v>
      </c>
      <c r="D34" s="32">
        <v>42</v>
      </c>
      <c r="E34" s="31" t="s">
        <v>544</v>
      </c>
      <c r="F34" s="33">
        <v>1761</v>
      </c>
      <c r="G34" s="31" t="s">
        <v>545</v>
      </c>
      <c r="H34" t="s">
        <v>118</v>
      </c>
    </row>
    <row r="35" spans="1:8">
      <c r="A35" s="29">
        <v>99</v>
      </c>
      <c r="B35" s="30" t="s">
        <v>546</v>
      </c>
      <c r="C35" s="31" t="s">
        <v>547</v>
      </c>
      <c r="D35" s="32">
        <v>43</v>
      </c>
      <c r="E35" s="31" t="s">
        <v>548</v>
      </c>
      <c r="F35" s="33">
        <v>1781</v>
      </c>
      <c r="G35" s="31" t="s">
        <v>549</v>
      </c>
      <c r="H35" t="s">
        <v>118</v>
      </c>
    </row>
    <row r="36" spans="1:8">
      <c r="A36" s="29">
        <v>101</v>
      </c>
      <c r="B36" s="30" t="s">
        <v>550</v>
      </c>
      <c r="C36" s="31" t="s">
        <v>551</v>
      </c>
      <c r="D36" s="32">
        <v>44</v>
      </c>
      <c r="E36" s="31" t="s">
        <v>552</v>
      </c>
      <c r="F36" s="33">
        <v>1780</v>
      </c>
      <c r="G36" s="31" t="s">
        <v>553</v>
      </c>
      <c r="H36" t="s">
        <v>118</v>
      </c>
    </row>
    <row r="37" spans="1:8">
      <c r="A37" s="29">
        <v>103</v>
      </c>
      <c r="B37" s="30" t="s">
        <v>554</v>
      </c>
      <c r="C37" s="31" t="s">
        <v>555</v>
      </c>
      <c r="D37" s="32">
        <v>45</v>
      </c>
      <c r="E37" s="31" t="s">
        <v>556</v>
      </c>
      <c r="F37" s="33">
        <v>1775</v>
      </c>
      <c r="G37" s="31" t="s">
        <v>557</v>
      </c>
      <c r="H37" t="s">
        <v>120</v>
      </c>
    </row>
    <row r="38" spans="1:8">
      <c r="A38" s="29">
        <v>103</v>
      </c>
      <c r="B38" s="30" t="s">
        <v>554</v>
      </c>
      <c r="C38" s="31" t="s">
        <v>555</v>
      </c>
      <c r="D38" s="32">
        <v>48</v>
      </c>
      <c r="E38" s="31" t="s">
        <v>558</v>
      </c>
      <c r="F38" s="33">
        <v>1775</v>
      </c>
      <c r="G38" s="31" t="s">
        <v>557</v>
      </c>
      <c r="H38" t="s">
        <v>120</v>
      </c>
    </row>
    <row r="39" spans="1:8">
      <c r="A39" s="29">
        <v>105</v>
      </c>
      <c r="B39" s="30" t="s">
        <v>559</v>
      </c>
      <c r="C39" s="31" t="s">
        <v>560</v>
      </c>
      <c r="D39" s="32">
        <v>45</v>
      </c>
      <c r="E39" s="31" t="s">
        <v>556</v>
      </c>
      <c r="F39" s="33">
        <v>1775</v>
      </c>
      <c r="G39" s="31" t="s">
        <v>557</v>
      </c>
      <c r="H39" t="s">
        <v>120</v>
      </c>
    </row>
    <row r="40" spans="1:8">
      <c r="A40" s="29">
        <v>106</v>
      </c>
      <c r="B40" s="30" t="s">
        <v>561</v>
      </c>
      <c r="C40" s="31" t="s">
        <v>562</v>
      </c>
      <c r="D40" s="32">
        <v>45</v>
      </c>
      <c r="E40" s="31" t="s">
        <v>556</v>
      </c>
      <c r="F40" s="33">
        <v>1775</v>
      </c>
      <c r="G40" s="31" t="s">
        <v>557</v>
      </c>
      <c r="H40" t="s">
        <v>120</v>
      </c>
    </row>
    <row r="41" spans="1:8">
      <c r="A41" s="29">
        <v>107</v>
      </c>
      <c r="B41" s="30" t="s">
        <v>563</v>
      </c>
      <c r="C41" s="31" t="s">
        <v>564</v>
      </c>
      <c r="D41" s="32">
        <v>45</v>
      </c>
      <c r="E41" s="31" t="s">
        <v>556</v>
      </c>
      <c r="F41" s="33">
        <v>1775</v>
      </c>
      <c r="G41" s="31" t="s">
        <v>557</v>
      </c>
      <c r="H41" t="s">
        <v>120</v>
      </c>
    </row>
    <row r="42" spans="1:8">
      <c r="A42" s="29">
        <v>108</v>
      </c>
      <c r="B42" s="30" t="s">
        <v>565</v>
      </c>
      <c r="C42" s="31" t="s">
        <v>566</v>
      </c>
      <c r="D42" s="32">
        <v>45</v>
      </c>
      <c r="E42" s="31" t="s">
        <v>556</v>
      </c>
      <c r="F42" s="33">
        <v>1775</v>
      </c>
      <c r="G42" s="31" t="s">
        <v>557</v>
      </c>
      <c r="H42" t="s">
        <v>120</v>
      </c>
    </row>
    <row r="43" spans="1:8">
      <c r="A43" s="29">
        <v>109</v>
      </c>
      <c r="B43" s="30" t="s">
        <v>567</v>
      </c>
      <c r="C43" s="31" t="s">
        <v>568</v>
      </c>
      <c r="D43" s="32">
        <v>45</v>
      </c>
      <c r="E43" s="31" t="s">
        <v>556</v>
      </c>
      <c r="F43" s="33">
        <v>1775</v>
      </c>
      <c r="G43" s="31" t="s">
        <v>557</v>
      </c>
      <c r="H43" t="s">
        <v>120</v>
      </c>
    </row>
    <row r="44" spans="1:8">
      <c r="A44" s="29">
        <v>110</v>
      </c>
      <c r="B44" s="30" t="s">
        <v>569</v>
      </c>
      <c r="C44" s="31" t="s">
        <v>570</v>
      </c>
      <c r="D44" s="32">
        <v>45</v>
      </c>
      <c r="E44" s="31" t="s">
        <v>556</v>
      </c>
      <c r="F44" s="33">
        <v>1775</v>
      </c>
      <c r="G44" s="31" t="s">
        <v>557</v>
      </c>
      <c r="H44" t="s">
        <v>120</v>
      </c>
    </row>
    <row r="45" spans="1:8">
      <c r="A45" s="29">
        <v>111</v>
      </c>
      <c r="B45" s="30" t="s">
        <v>571</v>
      </c>
      <c r="C45" s="31" t="s">
        <v>572</v>
      </c>
      <c r="D45" s="32">
        <v>46</v>
      </c>
      <c r="E45" s="31" t="s">
        <v>573</v>
      </c>
      <c r="F45" s="33">
        <v>1702</v>
      </c>
      <c r="G45" s="31" t="s">
        <v>574</v>
      </c>
      <c r="H45" t="s">
        <v>120</v>
      </c>
    </row>
    <row r="46" spans="1:8">
      <c r="A46" s="29">
        <v>121</v>
      </c>
      <c r="B46" s="30" t="s">
        <v>575</v>
      </c>
      <c r="C46" s="31" t="s">
        <v>576</v>
      </c>
      <c r="D46" s="32">
        <v>51</v>
      </c>
      <c r="E46" s="31" t="s">
        <v>577</v>
      </c>
      <c r="F46" s="33">
        <v>1689</v>
      </c>
      <c r="G46" s="31" t="s">
        <v>578</v>
      </c>
      <c r="H46" t="s">
        <v>118</v>
      </c>
    </row>
    <row r="47" spans="1:8">
      <c r="A47" s="29">
        <v>127</v>
      </c>
      <c r="B47" s="30" t="s">
        <v>579</v>
      </c>
      <c r="C47" s="31" t="s">
        <v>580</v>
      </c>
      <c r="D47" s="32">
        <v>53</v>
      </c>
      <c r="E47" s="31" t="s">
        <v>581</v>
      </c>
      <c r="F47" s="33">
        <v>675</v>
      </c>
      <c r="G47" s="31" t="s">
        <v>579</v>
      </c>
      <c r="H47" t="s">
        <v>117</v>
      </c>
    </row>
    <row r="48" spans="1:8">
      <c r="A48" s="29">
        <v>130</v>
      </c>
      <c r="B48" s="30" t="s">
        <v>582</v>
      </c>
      <c r="C48" s="31" t="s">
        <v>583</v>
      </c>
      <c r="D48" s="32">
        <v>45</v>
      </c>
      <c r="E48" s="31" t="s">
        <v>556</v>
      </c>
      <c r="F48" s="33">
        <v>1703</v>
      </c>
      <c r="G48" s="31" t="s">
        <v>584</v>
      </c>
      <c r="H48" t="s">
        <v>120</v>
      </c>
    </row>
    <row r="49" spans="1:8">
      <c r="A49" s="29">
        <v>131</v>
      </c>
      <c r="B49" s="30" t="s">
        <v>585</v>
      </c>
      <c r="C49" s="31" t="s">
        <v>586</v>
      </c>
      <c r="D49" s="32">
        <v>45</v>
      </c>
      <c r="E49" s="31" t="s">
        <v>556</v>
      </c>
      <c r="F49" s="33">
        <v>5555</v>
      </c>
      <c r="G49" s="31" t="s">
        <v>587</v>
      </c>
      <c r="H49" t="s">
        <v>1545</v>
      </c>
    </row>
    <row r="50" spans="1:8">
      <c r="A50" s="29">
        <v>136</v>
      </c>
      <c r="B50" s="30" t="s">
        <v>588</v>
      </c>
      <c r="C50" s="31" t="s">
        <v>589</v>
      </c>
      <c r="D50" s="32">
        <v>103</v>
      </c>
      <c r="E50" s="31" t="s">
        <v>590</v>
      </c>
      <c r="F50" s="33">
        <v>1760</v>
      </c>
      <c r="G50" s="31" t="s">
        <v>591</v>
      </c>
      <c r="H50" t="s">
        <v>118</v>
      </c>
    </row>
    <row r="51" spans="1:8">
      <c r="A51" s="29">
        <v>146</v>
      </c>
      <c r="B51" s="30" t="s">
        <v>592</v>
      </c>
      <c r="C51" s="31" t="s">
        <v>589</v>
      </c>
      <c r="D51" s="32">
        <v>103</v>
      </c>
      <c r="E51" s="31" t="s">
        <v>590</v>
      </c>
      <c r="F51" s="33">
        <v>1760</v>
      </c>
      <c r="G51" s="31" t="s">
        <v>591</v>
      </c>
      <c r="H51" t="s">
        <v>118</v>
      </c>
    </row>
    <row r="52" spans="1:8">
      <c r="A52" s="29">
        <v>147</v>
      </c>
      <c r="B52" s="30" t="s">
        <v>593</v>
      </c>
      <c r="C52" s="31" t="s">
        <v>594</v>
      </c>
      <c r="D52" s="32">
        <v>64</v>
      </c>
      <c r="E52" s="31" t="s">
        <v>595</v>
      </c>
      <c r="F52" s="33">
        <v>1561</v>
      </c>
      <c r="G52" s="31" t="s">
        <v>596</v>
      </c>
      <c r="H52" t="s">
        <v>118</v>
      </c>
    </row>
    <row r="53" spans="1:8">
      <c r="A53" s="29">
        <v>149</v>
      </c>
      <c r="B53" s="30" t="s">
        <v>597</v>
      </c>
      <c r="C53" s="31" t="s">
        <v>598</v>
      </c>
      <c r="D53" s="32">
        <v>65</v>
      </c>
      <c r="E53" s="31" t="s">
        <v>599</v>
      </c>
      <c r="F53" s="33">
        <v>1688</v>
      </c>
      <c r="G53" s="31" t="s">
        <v>600</v>
      </c>
      <c r="H53" t="s">
        <v>118</v>
      </c>
    </row>
    <row r="54" spans="1:8">
      <c r="A54" s="29">
        <v>150</v>
      </c>
      <c r="B54" s="30" t="s">
        <v>601</v>
      </c>
      <c r="C54" s="31" t="s">
        <v>602</v>
      </c>
      <c r="D54" s="32">
        <v>52</v>
      </c>
      <c r="E54" s="31" t="s">
        <v>603</v>
      </c>
      <c r="F54" s="33">
        <v>1791</v>
      </c>
      <c r="G54" s="31" t="s">
        <v>604</v>
      </c>
      <c r="H54" t="s">
        <v>118</v>
      </c>
    </row>
    <row r="55" spans="1:8">
      <c r="A55" s="29">
        <v>154</v>
      </c>
      <c r="B55" s="30" t="s">
        <v>605</v>
      </c>
      <c r="C55" s="31" t="s">
        <v>606</v>
      </c>
      <c r="D55" s="32">
        <v>51</v>
      </c>
      <c r="E55" s="31" t="s">
        <v>577</v>
      </c>
      <c r="F55" s="33">
        <v>1689</v>
      </c>
      <c r="G55" s="31" t="s">
        <v>578</v>
      </c>
      <c r="H55" t="s">
        <v>118</v>
      </c>
    </row>
    <row r="56" spans="1:8">
      <c r="A56" s="29">
        <v>163</v>
      </c>
      <c r="B56" s="30" t="s">
        <v>607</v>
      </c>
      <c r="C56" s="31" t="s">
        <v>521</v>
      </c>
      <c r="D56" s="32">
        <v>70</v>
      </c>
      <c r="E56" s="31" t="s">
        <v>608</v>
      </c>
      <c r="F56" s="33">
        <v>1535</v>
      </c>
      <c r="G56" s="31" t="s">
        <v>609</v>
      </c>
      <c r="H56" t="s">
        <v>118</v>
      </c>
    </row>
    <row r="57" spans="1:8">
      <c r="A57" s="29">
        <v>188</v>
      </c>
      <c r="B57" s="30" t="s">
        <v>610</v>
      </c>
      <c r="C57" s="31" t="s">
        <v>611</v>
      </c>
      <c r="D57" s="32">
        <v>281</v>
      </c>
      <c r="E57" s="31" t="s">
        <v>613</v>
      </c>
      <c r="F57" s="33">
        <v>1541</v>
      </c>
      <c r="G57" s="31" t="s">
        <v>612</v>
      </c>
      <c r="H57" t="s">
        <v>117</v>
      </c>
    </row>
    <row r="58" spans="1:8">
      <c r="A58" s="29">
        <v>189</v>
      </c>
      <c r="B58" s="30" t="s">
        <v>614</v>
      </c>
      <c r="C58" s="31" t="s">
        <v>615</v>
      </c>
      <c r="D58" s="32">
        <v>281</v>
      </c>
      <c r="E58" s="31" t="s">
        <v>613</v>
      </c>
      <c r="F58" s="33">
        <v>1541</v>
      </c>
      <c r="G58" s="31" t="s">
        <v>612</v>
      </c>
      <c r="H58" t="s">
        <v>117</v>
      </c>
    </row>
    <row r="59" spans="1:8">
      <c r="A59" s="29">
        <v>197</v>
      </c>
      <c r="B59" s="30" t="s">
        <v>616</v>
      </c>
      <c r="C59" s="31" t="s">
        <v>617</v>
      </c>
      <c r="D59" s="32">
        <v>73</v>
      </c>
      <c r="E59" s="31" t="s">
        <v>618</v>
      </c>
      <c r="F59" s="33">
        <v>1080</v>
      </c>
      <c r="G59" s="31" t="s">
        <v>619</v>
      </c>
      <c r="H59" t="s">
        <v>118</v>
      </c>
    </row>
    <row r="60" spans="1:8">
      <c r="A60" s="29">
        <v>197</v>
      </c>
      <c r="B60" s="30" t="s">
        <v>616</v>
      </c>
      <c r="C60" s="31" t="s">
        <v>617</v>
      </c>
      <c r="D60" s="32">
        <v>235</v>
      </c>
      <c r="E60" s="31" t="s">
        <v>620</v>
      </c>
      <c r="F60" s="33">
        <v>1080</v>
      </c>
      <c r="G60" s="31" t="s">
        <v>619</v>
      </c>
      <c r="H60" t="s">
        <v>118</v>
      </c>
    </row>
    <row r="61" spans="1:8">
      <c r="A61" s="29">
        <v>214</v>
      </c>
      <c r="B61" s="30" t="s">
        <v>622</v>
      </c>
      <c r="C61" s="31" t="s">
        <v>623</v>
      </c>
      <c r="D61" s="32">
        <v>82</v>
      </c>
      <c r="E61" s="31" t="s">
        <v>624</v>
      </c>
      <c r="F61" s="33">
        <v>1603</v>
      </c>
      <c r="G61" s="31" t="s">
        <v>625</v>
      </c>
      <c r="H61" t="s">
        <v>120</v>
      </c>
    </row>
    <row r="62" spans="1:8">
      <c r="A62" s="29">
        <v>215</v>
      </c>
      <c r="B62" s="30" t="s">
        <v>626</v>
      </c>
      <c r="C62" s="31" t="s">
        <v>623</v>
      </c>
      <c r="D62" s="32">
        <v>83</v>
      </c>
      <c r="E62" s="31" t="s">
        <v>627</v>
      </c>
      <c r="F62" s="33">
        <v>1665</v>
      </c>
      <c r="G62" s="31" t="s">
        <v>628</v>
      </c>
      <c r="H62" t="s">
        <v>120</v>
      </c>
    </row>
    <row r="63" spans="1:8">
      <c r="A63" s="29">
        <v>217</v>
      </c>
      <c r="B63" s="30" t="s">
        <v>629</v>
      </c>
      <c r="C63" s="31" t="s">
        <v>623</v>
      </c>
      <c r="D63" s="32">
        <v>81</v>
      </c>
      <c r="E63" s="31" t="s">
        <v>630</v>
      </c>
      <c r="F63" s="33">
        <v>1202</v>
      </c>
      <c r="G63" s="31" t="s">
        <v>621</v>
      </c>
      <c r="H63" t="s">
        <v>120</v>
      </c>
    </row>
    <row r="64" spans="1:8">
      <c r="A64" s="29">
        <v>218</v>
      </c>
      <c r="B64" s="30" t="s">
        <v>631</v>
      </c>
      <c r="C64" s="31" t="s">
        <v>632</v>
      </c>
      <c r="D64" s="32">
        <v>81</v>
      </c>
      <c r="E64" s="31" t="s">
        <v>630</v>
      </c>
      <c r="F64" s="33">
        <v>1202</v>
      </c>
      <c r="G64" s="31" t="s">
        <v>621</v>
      </c>
      <c r="H64" t="s">
        <v>120</v>
      </c>
    </row>
    <row r="65" spans="1:8">
      <c r="A65" s="29">
        <v>222</v>
      </c>
      <c r="B65" s="30" t="s">
        <v>633</v>
      </c>
      <c r="C65" s="31" t="s">
        <v>634</v>
      </c>
      <c r="D65" s="32">
        <v>84</v>
      </c>
      <c r="E65" s="31" t="s">
        <v>635</v>
      </c>
      <c r="F65" s="33">
        <v>1003</v>
      </c>
      <c r="G65" s="31" t="s">
        <v>636</v>
      </c>
      <c r="H65" t="s">
        <v>1545</v>
      </c>
    </row>
    <row r="66" spans="1:8">
      <c r="A66" s="29">
        <v>223</v>
      </c>
      <c r="B66" s="30" t="s">
        <v>637</v>
      </c>
      <c r="C66" s="31" t="s">
        <v>634</v>
      </c>
      <c r="D66" s="32">
        <v>85</v>
      </c>
      <c r="E66" s="31" t="s">
        <v>638</v>
      </c>
      <c r="F66" s="33">
        <v>1015</v>
      </c>
      <c r="G66" s="31" t="s">
        <v>639</v>
      </c>
      <c r="H66" t="s">
        <v>1545</v>
      </c>
    </row>
    <row r="67" spans="1:8">
      <c r="A67" s="29">
        <v>224</v>
      </c>
      <c r="B67" s="30" t="s">
        <v>640</v>
      </c>
      <c r="C67" s="31" t="s">
        <v>634</v>
      </c>
      <c r="D67" s="32">
        <v>85</v>
      </c>
      <c r="E67" s="31" t="s">
        <v>638</v>
      </c>
      <c r="F67" s="33">
        <v>1015</v>
      </c>
      <c r="G67" s="31" t="s">
        <v>639</v>
      </c>
      <c r="H67" t="s">
        <v>1545</v>
      </c>
    </row>
    <row r="68" spans="1:8">
      <c r="A68" s="29">
        <v>225</v>
      </c>
      <c r="B68" s="30" t="s">
        <v>641</v>
      </c>
      <c r="C68" s="31" t="s">
        <v>642</v>
      </c>
      <c r="D68" s="32">
        <v>86</v>
      </c>
      <c r="E68" s="31" t="s">
        <v>643</v>
      </c>
      <c r="F68" s="33">
        <v>1078</v>
      </c>
      <c r="G68" s="31" t="s">
        <v>644</v>
      </c>
      <c r="H68" t="s">
        <v>118</v>
      </c>
    </row>
    <row r="69" spans="1:8">
      <c r="A69" s="29">
        <v>227</v>
      </c>
      <c r="B69" s="30" t="s">
        <v>645</v>
      </c>
      <c r="C69" s="31" t="s">
        <v>646</v>
      </c>
      <c r="D69" s="32">
        <v>86</v>
      </c>
      <c r="E69" s="31" t="s">
        <v>643</v>
      </c>
      <c r="F69" s="33">
        <v>1078</v>
      </c>
      <c r="G69" s="31" t="s">
        <v>644</v>
      </c>
      <c r="H69" t="s">
        <v>118</v>
      </c>
    </row>
    <row r="70" spans="1:8">
      <c r="A70" s="29">
        <v>228</v>
      </c>
      <c r="B70" s="30" t="s">
        <v>647</v>
      </c>
      <c r="C70" s="31" t="s">
        <v>648</v>
      </c>
      <c r="D70" s="32">
        <v>86</v>
      </c>
      <c r="E70" s="31" t="s">
        <v>643</v>
      </c>
      <c r="F70" s="33">
        <v>1078</v>
      </c>
      <c r="G70" s="31" t="s">
        <v>644</v>
      </c>
      <c r="H70" t="s">
        <v>118</v>
      </c>
    </row>
    <row r="71" spans="1:8">
      <c r="A71" s="29">
        <v>239</v>
      </c>
      <c r="B71" s="30" t="s">
        <v>651</v>
      </c>
      <c r="C71" s="31" t="s">
        <v>652</v>
      </c>
      <c r="D71" s="32">
        <v>10</v>
      </c>
      <c r="E71" s="31" t="s">
        <v>454</v>
      </c>
      <c r="F71" s="33">
        <v>1040</v>
      </c>
      <c r="G71" s="31" t="s">
        <v>653</v>
      </c>
      <c r="H71" t="s">
        <v>342</v>
      </c>
    </row>
    <row r="72" spans="1:8">
      <c r="A72" s="29">
        <v>251</v>
      </c>
      <c r="B72" s="30" t="s">
        <v>654</v>
      </c>
      <c r="C72" s="31" t="s">
        <v>623</v>
      </c>
      <c r="D72" s="32">
        <v>218</v>
      </c>
      <c r="E72" s="31" t="s">
        <v>655</v>
      </c>
      <c r="F72" s="33">
        <v>1326</v>
      </c>
      <c r="G72" s="31" t="s">
        <v>656</v>
      </c>
      <c r="H72" t="s">
        <v>120</v>
      </c>
    </row>
    <row r="73" spans="1:8">
      <c r="A73" s="29">
        <v>252</v>
      </c>
      <c r="B73" s="30" t="s">
        <v>657</v>
      </c>
      <c r="C73" s="31" t="s">
        <v>632</v>
      </c>
      <c r="D73" s="32">
        <v>218</v>
      </c>
      <c r="E73" s="31" t="s">
        <v>655</v>
      </c>
      <c r="F73" s="33">
        <v>1326</v>
      </c>
      <c r="G73" s="31" t="s">
        <v>656</v>
      </c>
      <c r="H73" t="s">
        <v>120</v>
      </c>
    </row>
    <row r="74" spans="1:8">
      <c r="A74" s="29">
        <v>263</v>
      </c>
      <c r="B74" s="30" t="s">
        <v>658</v>
      </c>
      <c r="C74" s="31" t="s">
        <v>460</v>
      </c>
      <c r="D74" s="32">
        <v>95</v>
      </c>
      <c r="E74" s="31" t="s">
        <v>659</v>
      </c>
      <c r="F74" s="33">
        <v>1679</v>
      </c>
      <c r="G74" s="31" t="s">
        <v>660</v>
      </c>
      <c r="H74" t="s">
        <v>118</v>
      </c>
    </row>
    <row r="75" spans="1:8">
      <c r="A75" s="29">
        <v>267</v>
      </c>
      <c r="B75" s="30" t="s">
        <v>661</v>
      </c>
      <c r="C75" s="31" t="s">
        <v>662</v>
      </c>
      <c r="D75" s="32">
        <v>97</v>
      </c>
      <c r="E75" s="31" t="s">
        <v>663</v>
      </c>
      <c r="F75" s="33">
        <v>1538</v>
      </c>
      <c r="G75" s="31" t="s">
        <v>664</v>
      </c>
      <c r="H75" t="s">
        <v>117</v>
      </c>
    </row>
    <row r="76" spans="1:8">
      <c r="A76" s="29">
        <v>268</v>
      </c>
      <c r="B76" s="30" t="s">
        <v>665</v>
      </c>
      <c r="C76" s="31" t="s">
        <v>666</v>
      </c>
      <c r="D76" s="32">
        <v>98</v>
      </c>
      <c r="E76" s="31" t="s">
        <v>667</v>
      </c>
      <c r="F76" s="33">
        <v>1801</v>
      </c>
      <c r="G76" s="31" t="s">
        <v>668</v>
      </c>
      <c r="H76" t="s">
        <v>117</v>
      </c>
    </row>
    <row r="77" spans="1:8">
      <c r="A77" s="29">
        <v>279</v>
      </c>
      <c r="B77" s="30" t="s">
        <v>669</v>
      </c>
      <c r="C77" s="31" t="s">
        <v>670</v>
      </c>
      <c r="D77" s="32">
        <v>103</v>
      </c>
      <c r="E77" s="31" t="s">
        <v>590</v>
      </c>
      <c r="F77" s="33">
        <v>1760</v>
      </c>
      <c r="G77" s="31" t="s">
        <v>591</v>
      </c>
      <c r="H77" t="s">
        <v>118</v>
      </c>
    </row>
    <row r="78" spans="1:8">
      <c r="A78" s="29">
        <v>280</v>
      </c>
      <c r="B78" s="30" t="s">
        <v>671</v>
      </c>
      <c r="C78" s="31" t="s">
        <v>589</v>
      </c>
      <c r="D78" s="32">
        <v>104</v>
      </c>
      <c r="E78" s="31" t="s">
        <v>672</v>
      </c>
      <c r="F78" s="33">
        <v>1107</v>
      </c>
      <c r="G78" s="31" t="s">
        <v>673</v>
      </c>
      <c r="H78" t="s">
        <v>118</v>
      </c>
    </row>
    <row r="79" spans="1:8">
      <c r="A79" s="29">
        <v>282</v>
      </c>
      <c r="B79" s="30" t="s">
        <v>674</v>
      </c>
      <c r="C79" s="31" t="s">
        <v>675</v>
      </c>
      <c r="D79" s="32">
        <v>106</v>
      </c>
      <c r="E79" s="31" t="s">
        <v>676</v>
      </c>
      <c r="F79" s="33">
        <v>1154</v>
      </c>
      <c r="G79" s="31" t="s">
        <v>677</v>
      </c>
      <c r="H79" t="s">
        <v>118</v>
      </c>
    </row>
    <row r="80" spans="1:8">
      <c r="A80" s="29">
        <v>283</v>
      </c>
      <c r="B80" s="30" t="s">
        <v>678</v>
      </c>
      <c r="C80" s="31" t="s">
        <v>679</v>
      </c>
      <c r="D80" s="32">
        <v>106</v>
      </c>
      <c r="E80" s="31" t="s">
        <v>676</v>
      </c>
      <c r="F80" s="33">
        <v>1154</v>
      </c>
      <c r="G80" s="31" t="s">
        <v>677</v>
      </c>
      <c r="H80" t="s">
        <v>118</v>
      </c>
    </row>
    <row r="81" spans="1:8">
      <c r="A81" s="29">
        <v>289</v>
      </c>
      <c r="B81" s="30" t="s">
        <v>680</v>
      </c>
      <c r="C81" s="31" t="s">
        <v>681</v>
      </c>
      <c r="D81" s="32">
        <v>107</v>
      </c>
      <c r="E81" s="31" t="s">
        <v>682</v>
      </c>
      <c r="F81" s="33">
        <v>1682</v>
      </c>
      <c r="G81" s="31" t="s">
        <v>683</v>
      </c>
      <c r="H81" t="s">
        <v>118</v>
      </c>
    </row>
    <row r="82" spans="1:8">
      <c r="A82" s="29">
        <v>298</v>
      </c>
      <c r="B82" s="30" t="s">
        <v>685</v>
      </c>
      <c r="C82" s="31" t="s">
        <v>686</v>
      </c>
      <c r="D82" s="32">
        <v>102</v>
      </c>
      <c r="E82" s="31" t="s">
        <v>687</v>
      </c>
      <c r="F82" s="33">
        <v>1084</v>
      </c>
      <c r="G82" s="31" t="s">
        <v>684</v>
      </c>
      <c r="H82" t="s">
        <v>120</v>
      </c>
    </row>
    <row r="83" spans="1:8">
      <c r="A83" s="29">
        <v>301</v>
      </c>
      <c r="B83" s="30" t="s">
        <v>688</v>
      </c>
      <c r="C83" s="31" t="s">
        <v>689</v>
      </c>
      <c r="D83" s="32">
        <v>102</v>
      </c>
      <c r="E83" s="31" t="s">
        <v>687</v>
      </c>
      <c r="F83" s="33">
        <v>7004</v>
      </c>
      <c r="G83" s="31" t="s">
        <v>690</v>
      </c>
      <c r="H83" t="s">
        <v>120</v>
      </c>
    </row>
    <row r="84" spans="1:8">
      <c r="A84" s="29">
        <v>303</v>
      </c>
      <c r="B84" s="30" t="s">
        <v>691</v>
      </c>
      <c r="C84" s="31" t="s">
        <v>692</v>
      </c>
      <c r="D84" s="32">
        <v>102</v>
      </c>
      <c r="E84" s="31" t="s">
        <v>687</v>
      </c>
      <c r="F84" s="33">
        <v>7005</v>
      </c>
      <c r="G84" s="31" t="s">
        <v>693</v>
      </c>
      <c r="H84" t="s">
        <v>120</v>
      </c>
    </row>
    <row r="85" spans="1:8">
      <c r="A85" s="29">
        <v>304</v>
      </c>
      <c r="B85" s="30" t="s">
        <v>694</v>
      </c>
      <c r="C85" s="31" t="s">
        <v>695</v>
      </c>
      <c r="D85" s="32">
        <v>102</v>
      </c>
      <c r="E85" s="31" t="s">
        <v>687</v>
      </c>
      <c r="F85" s="33">
        <v>1799</v>
      </c>
      <c r="G85" s="31" t="s">
        <v>696</v>
      </c>
      <c r="H85" t="s">
        <v>120</v>
      </c>
    </row>
    <row r="86" spans="1:8">
      <c r="A86" s="29">
        <v>305</v>
      </c>
      <c r="B86" s="30" t="s">
        <v>697</v>
      </c>
      <c r="C86" s="31" t="s">
        <v>698</v>
      </c>
      <c r="D86" s="32">
        <v>102</v>
      </c>
      <c r="E86" s="31" t="s">
        <v>687</v>
      </c>
      <c r="F86" s="33">
        <v>1800</v>
      </c>
      <c r="G86" s="31" t="s">
        <v>699</v>
      </c>
      <c r="H86" t="s">
        <v>120</v>
      </c>
    </row>
    <row r="87" spans="1:8">
      <c r="A87" s="29">
        <v>306</v>
      </c>
      <c r="B87" s="30" t="s">
        <v>700</v>
      </c>
      <c r="C87" s="31" t="s">
        <v>701</v>
      </c>
      <c r="D87" s="32">
        <v>102</v>
      </c>
      <c r="E87" s="31" t="s">
        <v>687</v>
      </c>
      <c r="F87" s="33">
        <v>1798</v>
      </c>
      <c r="G87" s="31" t="s">
        <v>702</v>
      </c>
      <c r="H87" t="s">
        <v>120</v>
      </c>
    </row>
    <row r="88" spans="1:8">
      <c r="A88" s="29">
        <v>308</v>
      </c>
      <c r="B88" s="30" t="s">
        <v>703</v>
      </c>
      <c r="C88" s="31" t="s">
        <v>704</v>
      </c>
      <c r="D88" s="32">
        <v>102</v>
      </c>
      <c r="E88" s="31" t="s">
        <v>687</v>
      </c>
      <c r="F88" s="33">
        <v>1129</v>
      </c>
      <c r="G88" s="31" t="s">
        <v>705</v>
      </c>
      <c r="H88" t="s">
        <v>120</v>
      </c>
    </row>
    <row r="89" spans="1:8">
      <c r="A89" s="29">
        <v>309</v>
      </c>
      <c r="B89" s="30" t="s">
        <v>706</v>
      </c>
      <c r="C89" s="31" t="s">
        <v>707</v>
      </c>
      <c r="D89" s="32">
        <v>102</v>
      </c>
      <c r="E89" s="31" t="s">
        <v>687</v>
      </c>
      <c r="F89" s="33">
        <v>1130</v>
      </c>
      <c r="G89" s="31" t="s">
        <v>708</v>
      </c>
      <c r="H89" t="s">
        <v>120</v>
      </c>
    </row>
    <row r="90" spans="1:8">
      <c r="A90" s="29">
        <v>312</v>
      </c>
      <c r="B90" s="30" t="s">
        <v>709</v>
      </c>
      <c r="C90" s="31" t="s">
        <v>710</v>
      </c>
      <c r="D90" s="32">
        <v>102</v>
      </c>
      <c r="E90" s="31" t="s">
        <v>687</v>
      </c>
      <c r="F90" s="33">
        <v>1204</v>
      </c>
      <c r="G90" s="31" t="s">
        <v>711</v>
      </c>
      <c r="H90" t="s">
        <v>120</v>
      </c>
    </row>
    <row r="91" spans="1:8">
      <c r="A91" s="29">
        <v>332</v>
      </c>
      <c r="B91" s="30" t="s">
        <v>713</v>
      </c>
      <c r="C91" s="31" t="s">
        <v>714</v>
      </c>
      <c r="D91" s="32">
        <v>102</v>
      </c>
      <c r="E91" s="31" t="s">
        <v>687</v>
      </c>
      <c r="F91" s="33">
        <v>1795</v>
      </c>
      <c r="G91" s="31" t="s">
        <v>712</v>
      </c>
      <c r="H91" t="s">
        <v>120</v>
      </c>
    </row>
    <row r="92" spans="1:8">
      <c r="A92" s="29">
        <v>338</v>
      </c>
      <c r="B92" s="30" t="s">
        <v>715</v>
      </c>
      <c r="C92" s="31" t="s">
        <v>716</v>
      </c>
      <c r="D92" s="32">
        <v>102</v>
      </c>
      <c r="E92" s="31" t="s">
        <v>687</v>
      </c>
      <c r="F92" s="33">
        <v>1169</v>
      </c>
      <c r="G92" s="31" t="s">
        <v>717</v>
      </c>
      <c r="H92" t="s">
        <v>120</v>
      </c>
    </row>
    <row r="93" spans="1:8">
      <c r="A93" s="29">
        <v>350</v>
      </c>
      <c r="B93" s="30" t="s">
        <v>718</v>
      </c>
      <c r="C93" s="31" t="s">
        <v>719</v>
      </c>
      <c r="D93" s="32">
        <v>45</v>
      </c>
      <c r="E93" s="31" t="s">
        <v>556</v>
      </c>
      <c r="F93" s="33">
        <v>1703</v>
      </c>
      <c r="G93" s="31" t="s">
        <v>584</v>
      </c>
      <c r="H93" t="s">
        <v>120</v>
      </c>
    </row>
    <row r="94" spans="1:8">
      <c r="A94" s="29">
        <v>353</v>
      </c>
      <c r="B94" s="30" t="s">
        <v>720</v>
      </c>
      <c r="C94" s="31" t="s">
        <v>721</v>
      </c>
      <c r="D94" s="32">
        <v>10</v>
      </c>
      <c r="E94" s="31" t="s">
        <v>454</v>
      </c>
      <c r="F94" s="33">
        <v>101</v>
      </c>
      <c r="G94" s="31" t="s">
        <v>722</v>
      </c>
      <c r="H94" t="s">
        <v>342</v>
      </c>
    </row>
    <row r="95" spans="1:8">
      <c r="A95" s="29">
        <v>354</v>
      </c>
      <c r="B95" s="30" t="s">
        <v>723</v>
      </c>
      <c r="C95" s="31" t="s">
        <v>724</v>
      </c>
      <c r="D95" s="32">
        <v>10</v>
      </c>
      <c r="E95" s="31" t="s">
        <v>454</v>
      </c>
      <c r="F95" s="33">
        <v>101</v>
      </c>
      <c r="G95" s="31" t="s">
        <v>722</v>
      </c>
      <c r="H95" t="s">
        <v>342</v>
      </c>
    </row>
    <row r="96" spans="1:8">
      <c r="A96" s="29">
        <v>355</v>
      </c>
      <c r="B96" s="30" t="s">
        <v>725</v>
      </c>
      <c r="C96" s="31" t="s">
        <v>726</v>
      </c>
      <c r="D96" s="32">
        <v>10</v>
      </c>
      <c r="E96" s="31" t="s">
        <v>454</v>
      </c>
      <c r="F96" s="33">
        <v>101</v>
      </c>
      <c r="G96" s="31" t="s">
        <v>722</v>
      </c>
      <c r="H96" t="s">
        <v>342</v>
      </c>
    </row>
    <row r="97" spans="1:8">
      <c r="A97" s="29">
        <v>356</v>
      </c>
      <c r="B97" s="30" t="s">
        <v>727</v>
      </c>
      <c r="C97" s="31" t="s">
        <v>728</v>
      </c>
      <c r="D97" s="32">
        <v>10</v>
      </c>
      <c r="E97" s="31" t="s">
        <v>454</v>
      </c>
      <c r="F97" s="33">
        <v>101</v>
      </c>
      <c r="G97" s="31" t="s">
        <v>722</v>
      </c>
      <c r="H97" t="s">
        <v>342</v>
      </c>
    </row>
    <row r="98" spans="1:8">
      <c r="A98" s="29">
        <v>357</v>
      </c>
      <c r="B98" s="30" t="s">
        <v>729</v>
      </c>
      <c r="C98" s="31" t="s">
        <v>730</v>
      </c>
      <c r="D98" s="32">
        <v>10</v>
      </c>
      <c r="E98" s="31" t="s">
        <v>454</v>
      </c>
      <c r="F98" s="33">
        <v>101</v>
      </c>
      <c r="G98" s="31" t="s">
        <v>722</v>
      </c>
      <c r="H98" t="s">
        <v>342</v>
      </c>
    </row>
    <row r="99" spans="1:8">
      <c r="A99" s="29">
        <v>358</v>
      </c>
      <c r="B99" s="30" t="s">
        <v>731</v>
      </c>
      <c r="C99" s="31" t="s">
        <v>732</v>
      </c>
      <c r="D99" s="32">
        <v>10</v>
      </c>
      <c r="E99" s="31" t="s">
        <v>454</v>
      </c>
      <c r="F99" s="33">
        <v>101</v>
      </c>
      <c r="G99" s="31" t="s">
        <v>722</v>
      </c>
      <c r="H99" t="s">
        <v>342</v>
      </c>
    </row>
    <row r="100" spans="1:8">
      <c r="A100" s="29">
        <v>359</v>
      </c>
      <c r="B100" s="30" t="s">
        <v>733</v>
      </c>
      <c r="C100" s="31" t="s">
        <v>734</v>
      </c>
      <c r="D100" s="32">
        <v>10</v>
      </c>
      <c r="E100" s="31" t="s">
        <v>454</v>
      </c>
      <c r="F100" s="33">
        <v>101</v>
      </c>
      <c r="G100" s="31" t="s">
        <v>722</v>
      </c>
      <c r="H100" t="s">
        <v>342</v>
      </c>
    </row>
    <row r="101" spans="1:8">
      <c r="A101" s="29">
        <v>360</v>
      </c>
      <c r="B101" s="30" t="s">
        <v>735</v>
      </c>
      <c r="C101" s="31" t="s">
        <v>736</v>
      </c>
      <c r="D101" s="32">
        <v>10</v>
      </c>
      <c r="E101" s="31" t="s">
        <v>454</v>
      </c>
      <c r="F101" s="33">
        <v>101</v>
      </c>
      <c r="G101" s="31" t="s">
        <v>722</v>
      </c>
      <c r="H101" t="s">
        <v>342</v>
      </c>
    </row>
    <row r="102" spans="1:8">
      <c r="A102" s="29">
        <v>361</v>
      </c>
      <c r="B102" s="30" t="s">
        <v>737</v>
      </c>
      <c r="C102" s="31" t="s">
        <v>738</v>
      </c>
      <c r="D102" s="32">
        <v>10</v>
      </c>
      <c r="E102" s="31" t="s">
        <v>454</v>
      </c>
      <c r="F102" s="33">
        <v>101</v>
      </c>
      <c r="G102" s="31" t="s">
        <v>722</v>
      </c>
      <c r="H102" t="s">
        <v>342</v>
      </c>
    </row>
    <row r="103" spans="1:8">
      <c r="A103" s="29">
        <v>366</v>
      </c>
      <c r="B103" s="30" t="s">
        <v>739</v>
      </c>
      <c r="C103" s="31" t="s">
        <v>740</v>
      </c>
      <c r="D103" s="32">
        <v>10</v>
      </c>
      <c r="E103" s="31" t="s">
        <v>454</v>
      </c>
      <c r="F103" s="33">
        <v>101</v>
      </c>
      <c r="G103" s="31" t="s">
        <v>722</v>
      </c>
      <c r="H103" t="s">
        <v>342</v>
      </c>
    </row>
    <row r="104" spans="1:8">
      <c r="A104" s="29">
        <v>367</v>
      </c>
      <c r="B104" s="30" t="s">
        <v>741</v>
      </c>
      <c r="C104" s="31" t="s">
        <v>742</v>
      </c>
      <c r="D104" s="32">
        <v>10</v>
      </c>
      <c r="E104" s="31" t="s">
        <v>454</v>
      </c>
      <c r="F104" s="33">
        <v>101</v>
      </c>
      <c r="G104" s="31" t="s">
        <v>722</v>
      </c>
      <c r="H104" t="s">
        <v>342</v>
      </c>
    </row>
    <row r="105" spans="1:8">
      <c r="A105" s="29">
        <v>369</v>
      </c>
      <c r="B105" s="30" t="s">
        <v>743</v>
      </c>
      <c r="C105" s="31" t="s">
        <v>744</v>
      </c>
      <c r="D105" s="32">
        <v>10</v>
      </c>
      <c r="E105" s="31" t="s">
        <v>454</v>
      </c>
      <c r="F105" s="33">
        <v>101</v>
      </c>
      <c r="G105" s="31" t="s">
        <v>722</v>
      </c>
      <c r="H105" t="s">
        <v>342</v>
      </c>
    </row>
    <row r="106" spans="1:8">
      <c r="A106" s="29">
        <v>370</v>
      </c>
      <c r="B106" s="30" t="s">
        <v>745</v>
      </c>
      <c r="C106" s="31" t="s">
        <v>746</v>
      </c>
      <c r="D106" s="32">
        <v>10</v>
      </c>
      <c r="E106" s="31" t="s">
        <v>454</v>
      </c>
      <c r="F106" s="33">
        <v>101</v>
      </c>
      <c r="G106" s="31" t="s">
        <v>722</v>
      </c>
      <c r="H106" t="s">
        <v>342</v>
      </c>
    </row>
    <row r="107" spans="1:8">
      <c r="A107" s="29">
        <v>373</v>
      </c>
      <c r="B107" s="30" t="s">
        <v>747</v>
      </c>
      <c r="C107" s="31" t="s">
        <v>748</v>
      </c>
      <c r="D107" s="32">
        <v>40</v>
      </c>
      <c r="E107" s="31" t="s">
        <v>344</v>
      </c>
      <c r="F107" s="33">
        <v>1524</v>
      </c>
      <c r="G107" s="31" t="s">
        <v>749</v>
      </c>
      <c r="H107" t="s">
        <v>342</v>
      </c>
    </row>
    <row r="108" spans="1:8">
      <c r="A108" s="29">
        <v>379</v>
      </c>
      <c r="B108" s="30" t="s">
        <v>750</v>
      </c>
      <c r="C108" s="31" t="s">
        <v>751</v>
      </c>
      <c r="D108" s="32">
        <v>10</v>
      </c>
      <c r="E108" s="31" t="s">
        <v>454</v>
      </c>
      <c r="F108" s="33">
        <v>101</v>
      </c>
      <c r="G108" s="31" t="s">
        <v>722</v>
      </c>
      <c r="H108" t="s">
        <v>342</v>
      </c>
    </row>
    <row r="109" spans="1:8">
      <c r="A109" s="29">
        <v>383</v>
      </c>
      <c r="B109" s="30" t="s">
        <v>753</v>
      </c>
      <c r="C109" s="31" t="s">
        <v>754</v>
      </c>
      <c r="D109" s="32">
        <v>40</v>
      </c>
      <c r="E109" s="31" t="s">
        <v>344</v>
      </c>
      <c r="F109" s="33">
        <v>1524</v>
      </c>
      <c r="G109" s="31" t="s">
        <v>749</v>
      </c>
      <c r="H109" t="s">
        <v>342</v>
      </c>
    </row>
    <row r="110" spans="1:8">
      <c r="A110" s="29">
        <v>384</v>
      </c>
      <c r="B110" s="30" t="s">
        <v>755</v>
      </c>
      <c r="C110" s="31" t="s">
        <v>756</v>
      </c>
      <c r="D110" s="32">
        <v>114</v>
      </c>
      <c r="E110" s="31" t="s">
        <v>757</v>
      </c>
      <c r="F110" s="33">
        <v>1158</v>
      </c>
      <c r="G110" s="31" t="s">
        <v>758</v>
      </c>
      <c r="H110" t="s">
        <v>117</v>
      </c>
    </row>
    <row r="111" spans="1:8">
      <c r="A111" s="29">
        <v>386</v>
      </c>
      <c r="B111" s="30" t="s">
        <v>759</v>
      </c>
      <c r="C111" s="31" t="s">
        <v>760</v>
      </c>
      <c r="D111" s="32">
        <v>115</v>
      </c>
      <c r="E111" s="31" t="s">
        <v>761</v>
      </c>
      <c r="F111" s="33">
        <v>129</v>
      </c>
      <c r="G111" s="31" t="s">
        <v>762</v>
      </c>
      <c r="H111" t="s">
        <v>117</v>
      </c>
    </row>
    <row r="112" spans="1:8">
      <c r="A112" s="29">
        <v>387</v>
      </c>
      <c r="B112" s="30" t="s">
        <v>763</v>
      </c>
      <c r="C112" s="31" t="s">
        <v>764</v>
      </c>
      <c r="D112" s="32">
        <v>114</v>
      </c>
      <c r="E112" s="31" t="s">
        <v>757</v>
      </c>
      <c r="F112" s="33">
        <v>1158</v>
      </c>
      <c r="G112" s="31" t="s">
        <v>758</v>
      </c>
      <c r="H112" t="s">
        <v>117</v>
      </c>
    </row>
    <row r="113" spans="1:8">
      <c r="A113" s="29">
        <v>393</v>
      </c>
      <c r="B113" s="30" t="s">
        <v>765</v>
      </c>
      <c r="C113" s="31" t="s">
        <v>766</v>
      </c>
      <c r="D113" s="32">
        <v>127</v>
      </c>
      <c r="E113" s="31" t="s">
        <v>767</v>
      </c>
      <c r="F113" s="33">
        <v>1506</v>
      </c>
      <c r="G113" s="31" t="s">
        <v>768</v>
      </c>
      <c r="H113" t="s">
        <v>118</v>
      </c>
    </row>
    <row r="114" spans="1:8">
      <c r="A114" s="29">
        <v>394</v>
      </c>
      <c r="B114" s="30" t="s">
        <v>769</v>
      </c>
      <c r="C114" s="31" t="s">
        <v>770</v>
      </c>
      <c r="D114" s="32">
        <v>128</v>
      </c>
      <c r="E114" s="31" t="s">
        <v>119</v>
      </c>
      <c r="F114" s="33">
        <v>1512</v>
      </c>
      <c r="G114" s="31" t="s">
        <v>771</v>
      </c>
      <c r="H114" t="s">
        <v>118</v>
      </c>
    </row>
    <row r="115" spans="1:8">
      <c r="A115" s="29">
        <v>395</v>
      </c>
      <c r="B115" s="30" t="s">
        <v>772</v>
      </c>
      <c r="C115" s="31" t="s">
        <v>773</v>
      </c>
      <c r="D115" s="32">
        <v>129</v>
      </c>
      <c r="E115" s="31" t="s">
        <v>774</v>
      </c>
      <c r="F115" s="33">
        <v>1519</v>
      </c>
      <c r="G115" s="31" t="s">
        <v>775</v>
      </c>
      <c r="H115" t="s">
        <v>118</v>
      </c>
    </row>
    <row r="116" spans="1:8">
      <c r="A116" s="29">
        <v>397</v>
      </c>
      <c r="B116" s="30" t="s">
        <v>776</v>
      </c>
      <c r="C116" s="31" t="s">
        <v>777</v>
      </c>
      <c r="D116" s="32">
        <v>131</v>
      </c>
      <c r="E116" s="31" t="s">
        <v>778</v>
      </c>
      <c r="F116" s="33">
        <v>1612</v>
      </c>
      <c r="G116" s="31" t="s">
        <v>752</v>
      </c>
      <c r="H116" t="s">
        <v>118</v>
      </c>
    </row>
    <row r="117" spans="1:8">
      <c r="A117" s="29">
        <v>398</v>
      </c>
      <c r="B117" s="30" t="s">
        <v>779</v>
      </c>
      <c r="C117" s="31" t="s">
        <v>780</v>
      </c>
      <c r="D117" s="32">
        <v>132</v>
      </c>
      <c r="E117" s="31" t="s">
        <v>781</v>
      </c>
      <c r="F117" s="33">
        <v>1766</v>
      </c>
      <c r="G117" s="31" t="s">
        <v>782</v>
      </c>
      <c r="H117" t="s">
        <v>118</v>
      </c>
    </row>
    <row r="118" spans="1:8">
      <c r="A118" s="29">
        <v>400</v>
      </c>
      <c r="B118" s="30" t="s">
        <v>783</v>
      </c>
      <c r="C118" s="31" t="s">
        <v>784</v>
      </c>
      <c r="D118" s="32">
        <v>124</v>
      </c>
      <c r="E118" s="31" t="s">
        <v>785</v>
      </c>
      <c r="F118" s="33">
        <v>1021</v>
      </c>
      <c r="G118" s="31" t="s">
        <v>786</v>
      </c>
      <c r="H118" t="s">
        <v>118</v>
      </c>
    </row>
    <row r="119" spans="1:8">
      <c r="A119" s="29">
        <v>401</v>
      </c>
      <c r="B119" s="30" t="s">
        <v>787</v>
      </c>
      <c r="C119" s="31" t="s">
        <v>788</v>
      </c>
      <c r="D119" s="32">
        <v>126</v>
      </c>
      <c r="E119" s="31" t="s">
        <v>789</v>
      </c>
      <c r="F119" s="33">
        <v>1104</v>
      </c>
      <c r="G119" s="31" t="s">
        <v>790</v>
      </c>
      <c r="H119" t="s">
        <v>118</v>
      </c>
    </row>
    <row r="120" spans="1:8">
      <c r="A120" s="29">
        <v>406</v>
      </c>
      <c r="B120" s="30" t="s">
        <v>791</v>
      </c>
      <c r="C120" s="31" t="s">
        <v>792</v>
      </c>
      <c r="D120" s="32">
        <v>136</v>
      </c>
      <c r="E120" s="31" t="s">
        <v>793</v>
      </c>
      <c r="F120" s="33">
        <v>1013</v>
      </c>
      <c r="G120" s="31" t="s">
        <v>794</v>
      </c>
      <c r="H120" t="s">
        <v>118</v>
      </c>
    </row>
    <row r="121" spans="1:8">
      <c r="A121" s="29">
        <v>408</v>
      </c>
      <c r="B121" s="30" t="s">
        <v>795</v>
      </c>
      <c r="C121" s="31" t="s">
        <v>796</v>
      </c>
      <c r="D121" s="32">
        <v>131</v>
      </c>
      <c r="E121" s="31" t="s">
        <v>778</v>
      </c>
      <c r="F121" s="33">
        <v>1612</v>
      </c>
      <c r="G121" s="31" t="s">
        <v>752</v>
      </c>
      <c r="H121" t="s">
        <v>118</v>
      </c>
    </row>
    <row r="122" spans="1:8">
      <c r="A122" s="29">
        <v>409</v>
      </c>
      <c r="B122" s="30" t="s">
        <v>797</v>
      </c>
      <c r="C122" s="31" t="s">
        <v>780</v>
      </c>
      <c r="D122" s="32">
        <v>131</v>
      </c>
      <c r="E122" s="31" t="s">
        <v>778</v>
      </c>
      <c r="F122" s="33">
        <v>1612</v>
      </c>
      <c r="G122" s="31" t="s">
        <v>752</v>
      </c>
      <c r="H122" t="s">
        <v>118</v>
      </c>
    </row>
    <row r="123" spans="1:8">
      <c r="A123" s="29">
        <v>410</v>
      </c>
      <c r="B123" s="30" t="s">
        <v>798</v>
      </c>
      <c r="C123" s="31" t="s">
        <v>799</v>
      </c>
      <c r="D123" s="32">
        <v>127</v>
      </c>
      <c r="E123" s="31" t="s">
        <v>767</v>
      </c>
      <c r="F123" s="33">
        <v>1506</v>
      </c>
      <c r="G123" s="31" t="s">
        <v>768</v>
      </c>
      <c r="H123" t="s">
        <v>118</v>
      </c>
    </row>
    <row r="124" spans="1:8">
      <c r="A124" s="29">
        <v>415</v>
      </c>
      <c r="B124" s="30" t="s">
        <v>800</v>
      </c>
      <c r="C124" s="31" t="s">
        <v>801</v>
      </c>
      <c r="D124" s="32">
        <v>127</v>
      </c>
      <c r="E124" s="31" t="s">
        <v>767</v>
      </c>
      <c r="F124" s="33">
        <v>1506</v>
      </c>
      <c r="G124" s="31" t="s">
        <v>768</v>
      </c>
      <c r="H124" t="s">
        <v>118</v>
      </c>
    </row>
    <row r="125" spans="1:8">
      <c r="A125" s="29">
        <v>416</v>
      </c>
      <c r="B125" s="30" t="s">
        <v>802</v>
      </c>
      <c r="C125" s="31" t="s">
        <v>803</v>
      </c>
      <c r="D125" s="32">
        <v>129</v>
      </c>
      <c r="E125" s="31" t="s">
        <v>774</v>
      </c>
      <c r="F125" s="33">
        <v>1519</v>
      </c>
      <c r="G125" s="31" t="s">
        <v>775</v>
      </c>
      <c r="H125" t="s">
        <v>118</v>
      </c>
    </row>
    <row r="126" spans="1:8">
      <c r="A126" s="29">
        <v>420</v>
      </c>
      <c r="B126" s="30" t="s">
        <v>804</v>
      </c>
      <c r="C126" s="31" t="s">
        <v>805</v>
      </c>
      <c r="D126" s="32">
        <v>145</v>
      </c>
      <c r="E126" s="31" t="s">
        <v>806</v>
      </c>
      <c r="F126" s="33">
        <v>1301</v>
      </c>
      <c r="G126" s="31" t="s">
        <v>650</v>
      </c>
      <c r="H126" t="s">
        <v>120</v>
      </c>
    </row>
    <row r="127" spans="1:8">
      <c r="A127" s="29">
        <v>421</v>
      </c>
      <c r="B127" s="30" t="s">
        <v>807</v>
      </c>
      <c r="C127" s="31" t="s">
        <v>805</v>
      </c>
      <c r="D127" s="32">
        <v>145</v>
      </c>
      <c r="E127" s="31" t="s">
        <v>806</v>
      </c>
      <c r="F127" s="33">
        <v>1301</v>
      </c>
      <c r="G127" s="31" t="s">
        <v>650</v>
      </c>
      <c r="H127" t="s">
        <v>120</v>
      </c>
    </row>
    <row r="128" spans="1:8">
      <c r="A128" s="29">
        <v>427</v>
      </c>
      <c r="B128" s="30" t="s">
        <v>808</v>
      </c>
      <c r="C128" s="31" t="s">
        <v>809</v>
      </c>
      <c r="D128" s="32">
        <v>142</v>
      </c>
      <c r="E128" s="31" t="s">
        <v>810</v>
      </c>
      <c r="F128" s="33">
        <v>1618</v>
      </c>
      <c r="G128" s="31" t="s">
        <v>649</v>
      </c>
      <c r="H128" t="s">
        <v>120</v>
      </c>
    </row>
    <row r="129" spans="1:8">
      <c r="A129" s="29">
        <v>428</v>
      </c>
      <c r="B129" s="30" t="s">
        <v>811</v>
      </c>
      <c r="C129" s="31" t="s">
        <v>809</v>
      </c>
      <c r="D129" s="32">
        <v>142</v>
      </c>
      <c r="E129" s="31" t="s">
        <v>810</v>
      </c>
      <c r="F129" s="33">
        <v>1618</v>
      </c>
      <c r="G129" s="31" t="s">
        <v>649</v>
      </c>
      <c r="H129" t="s">
        <v>120</v>
      </c>
    </row>
    <row r="130" spans="1:8">
      <c r="A130" s="29">
        <v>430</v>
      </c>
      <c r="B130" s="30" t="s">
        <v>812</v>
      </c>
      <c r="C130" s="31" t="s">
        <v>813</v>
      </c>
      <c r="D130" s="32">
        <v>140</v>
      </c>
      <c r="E130" s="31" t="s">
        <v>814</v>
      </c>
      <c r="F130" s="33">
        <v>1796</v>
      </c>
      <c r="G130" s="31" t="s">
        <v>815</v>
      </c>
      <c r="H130" t="s">
        <v>120</v>
      </c>
    </row>
    <row r="131" spans="1:8">
      <c r="A131" s="29">
        <v>431</v>
      </c>
      <c r="B131" s="30" t="s">
        <v>816</v>
      </c>
      <c r="C131" s="31" t="s">
        <v>817</v>
      </c>
      <c r="D131" s="32">
        <v>140</v>
      </c>
      <c r="E131" s="31" t="s">
        <v>814</v>
      </c>
      <c r="F131" s="33">
        <v>1796</v>
      </c>
      <c r="G131" s="31" t="s">
        <v>815</v>
      </c>
      <c r="H131" t="s">
        <v>120</v>
      </c>
    </row>
    <row r="132" spans="1:8">
      <c r="A132" s="29">
        <v>433</v>
      </c>
      <c r="B132" s="30" t="s">
        <v>818</v>
      </c>
      <c r="C132" s="31" t="s">
        <v>819</v>
      </c>
      <c r="D132" s="32">
        <v>140</v>
      </c>
      <c r="E132" s="31" t="s">
        <v>814</v>
      </c>
      <c r="F132" s="33">
        <v>1017</v>
      </c>
      <c r="G132" s="31" t="s">
        <v>820</v>
      </c>
      <c r="H132" t="s">
        <v>120</v>
      </c>
    </row>
    <row r="133" spans="1:8">
      <c r="A133" s="29">
        <v>434</v>
      </c>
      <c r="B133" s="30" t="s">
        <v>821</v>
      </c>
      <c r="C133" s="31" t="s">
        <v>819</v>
      </c>
      <c r="D133" s="32">
        <v>140</v>
      </c>
      <c r="E133" s="31" t="s">
        <v>814</v>
      </c>
      <c r="F133" s="33">
        <v>1022</v>
      </c>
      <c r="G133" s="31" t="s">
        <v>822</v>
      </c>
      <c r="H133" t="s">
        <v>120</v>
      </c>
    </row>
    <row r="134" spans="1:8">
      <c r="A134" s="29">
        <v>435</v>
      </c>
      <c r="B134" s="30" t="s">
        <v>823</v>
      </c>
      <c r="C134" s="31" t="s">
        <v>819</v>
      </c>
      <c r="D134" s="32">
        <v>140</v>
      </c>
      <c r="E134" s="31" t="s">
        <v>814</v>
      </c>
      <c r="F134" s="33">
        <v>1023</v>
      </c>
      <c r="G134" s="31" t="s">
        <v>824</v>
      </c>
      <c r="H134" t="s">
        <v>120</v>
      </c>
    </row>
    <row r="135" spans="1:8">
      <c r="A135" s="29">
        <v>436</v>
      </c>
      <c r="B135" s="30" t="s">
        <v>825</v>
      </c>
      <c r="C135" s="31" t="s">
        <v>826</v>
      </c>
      <c r="D135" s="32">
        <v>144</v>
      </c>
      <c r="E135" s="31" t="s">
        <v>827</v>
      </c>
      <c r="F135" s="33">
        <v>1735</v>
      </c>
      <c r="G135" s="31" t="s">
        <v>828</v>
      </c>
      <c r="H135" t="s">
        <v>120</v>
      </c>
    </row>
    <row r="136" spans="1:8">
      <c r="A136" s="29">
        <v>438</v>
      </c>
      <c r="B136" s="30" t="s">
        <v>829</v>
      </c>
      <c r="C136" s="31" t="s">
        <v>819</v>
      </c>
      <c r="D136" s="32">
        <v>140</v>
      </c>
      <c r="E136" s="31" t="s">
        <v>814</v>
      </c>
      <c r="F136" s="33">
        <v>1023</v>
      </c>
      <c r="G136" s="31" t="s">
        <v>824</v>
      </c>
      <c r="H136" t="s">
        <v>120</v>
      </c>
    </row>
    <row r="137" spans="1:8">
      <c r="A137" s="29">
        <v>449</v>
      </c>
      <c r="B137" s="30" t="s">
        <v>755</v>
      </c>
      <c r="C137" s="31" t="s">
        <v>764</v>
      </c>
      <c r="D137" s="32">
        <v>114</v>
      </c>
      <c r="E137" s="31" t="s">
        <v>757</v>
      </c>
      <c r="F137" s="33">
        <v>1158</v>
      </c>
      <c r="G137" s="31" t="s">
        <v>758</v>
      </c>
      <c r="H137" t="s">
        <v>117</v>
      </c>
    </row>
    <row r="138" spans="1:8">
      <c r="A138" s="29">
        <v>452</v>
      </c>
      <c r="B138" s="30" t="s">
        <v>830</v>
      </c>
      <c r="C138" s="31" t="s">
        <v>803</v>
      </c>
      <c r="D138" s="32">
        <v>129</v>
      </c>
      <c r="E138" s="31" t="s">
        <v>774</v>
      </c>
      <c r="F138" s="33">
        <v>1519</v>
      </c>
      <c r="G138" s="31" t="s">
        <v>775</v>
      </c>
      <c r="H138" t="s">
        <v>118</v>
      </c>
    </row>
    <row r="139" spans="1:8">
      <c r="A139" s="29">
        <v>453</v>
      </c>
      <c r="B139" s="30" t="s">
        <v>831</v>
      </c>
      <c r="C139" s="31" t="s">
        <v>832</v>
      </c>
      <c r="D139" s="32">
        <v>129</v>
      </c>
      <c r="E139" s="31" t="s">
        <v>774</v>
      </c>
      <c r="F139" s="33">
        <v>1519</v>
      </c>
      <c r="G139" s="31" t="s">
        <v>775</v>
      </c>
      <c r="H139" t="s">
        <v>118</v>
      </c>
    </row>
    <row r="140" spans="1:8">
      <c r="A140" s="29">
        <v>455</v>
      </c>
      <c r="B140" s="30" t="s">
        <v>833</v>
      </c>
      <c r="C140" s="31" t="s">
        <v>834</v>
      </c>
      <c r="D140" s="32">
        <v>131</v>
      </c>
      <c r="E140" s="31" t="s">
        <v>778</v>
      </c>
      <c r="F140" s="33">
        <v>1612</v>
      </c>
      <c r="G140" s="31" t="s">
        <v>752</v>
      </c>
      <c r="H140" t="s">
        <v>118</v>
      </c>
    </row>
    <row r="141" spans="1:8">
      <c r="A141" s="29">
        <v>456</v>
      </c>
      <c r="B141" s="30" t="s">
        <v>835</v>
      </c>
      <c r="C141" s="31" t="s">
        <v>805</v>
      </c>
      <c r="D141" s="32">
        <v>145</v>
      </c>
      <c r="E141" s="31" t="s">
        <v>806</v>
      </c>
      <c r="F141" s="33">
        <v>1301</v>
      </c>
      <c r="G141" s="31" t="s">
        <v>650</v>
      </c>
      <c r="H141" t="s">
        <v>120</v>
      </c>
    </row>
    <row r="142" spans="1:8">
      <c r="A142" s="29">
        <v>457</v>
      </c>
      <c r="B142" s="30" t="s">
        <v>836</v>
      </c>
      <c r="C142" s="31" t="s">
        <v>805</v>
      </c>
      <c r="D142" s="32">
        <v>145</v>
      </c>
      <c r="E142" s="31" t="s">
        <v>806</v>
      </c>
      <c r="F142" s="33">
        <v>1301</v>
      </c>
      <c r="G142" s="31" t="s">
        <v>650</v>
      </c>
      <c r="H142" t="s">
        <v>120</v>
      </c>
    </row>
    <row r="143" spans="1:8">
      <c r="A143" s="29">
        <v>459</v>
      </c>
      <c r="B143" s="30" t="s">
        <v>839</v>
      </c>
      <c r="C143" s="31" t="s">
        <v>840</v>
      </c>
      <c r="D143" s="32">
        <v>102</v>
      </c>
      <c r="E143" s="31" t="s">
        <v>687</v>
      </c>
      <c r="F143" s="33">
        <v>1762</v>
      </c>
      <c r="G143" s="31" t="s">
        <v>838</v>
      </c>
      <c r="H143" t="s">
        <v>120</v>
      </c>
    </row>
    <row r="144" spans="1:8">
      <c r="A144" s="29">
        <v>461</v>
      </c>
      <c r="B144" s="30" t="s">
        <v>841</v>
      </c>
      <c r="C144" s="31" t="s">
        <v>842</v>
      </c>
      <c r="D144" s="32">
        <v>102</v>
      </c>
      <c r="E144" s="31" t="s">
        <v>687</v>
      </c>
      <c r="F144" s="33">
        <v>1180</v>
      </c>
      <c r="G144" s="31" t="s">
        <v>843</v>
      </c>
      <c r="H144" t="s">
        <v>120</v>
      </c>
    </row>
    <row r="145" spans="1:8">
      <c r="A145" s="29">
        <v>462</v>
      </c>
      <c r="B145" s="30" t="s">
        <v>844</v>
      </c>
      <c r="C145" s="31" t="s">
        <v>842</v>
      </c>
      <c r="D145" s="32">
        <v>102</v>
      </c>
      <c r="E145" s="31" t="s">
        <v>687</v>
      </c>
      <c r="F145" s="33">
        <v>1181</v>
      </c>
      <c r="G145" s="31" t="s">
        <v>845</v>
      </c>
      <c r="H145" t="s">
        <v>120</v>
      </c>
    </row>
    <row r="146" spans="1:8">
      <c r="A146" s="29">
        <v>467</v>
      </c>
      <c r="B146" s="30" t="s">
        <v>846</v>
      </c>
      <c r="C146" s="31" t="s">
        <v>805</v>
      </c>
      <c r="D146" s="32">
        <v>152</v>
      </c>
      <c r="E146" s="31" t="s">
        <v>847</v>
      </c>
      <c r="F146" s="33">
        <v>1638</v>
      </c>
      <c r="G146" s="31" t="s">
        <v>848</v>
      </c>
      <c r="H146" t="s">
        <v>117</v>
      </c>
    </row>
    <row r="147" spans="1:8">
      <c r="A147" s="29">
        <v>475</v>
      </c>
      <c r="B147" s="30" t="s">
        <v>849</v>
      </c>
      <c r="C147" s="31" t="s">
        <v>850</v>
      </c>
      <c r="D147" s="32">
        <v>152</v>
      </c>
      <c r="E147" s="31" t="s">
        <v>847</v>
      </c>
      <c r="F147" s="33">
        <v>1638</v>
      </c>
      <c r="G147" s="31" t="s">
        <v>848</v>
      </c>
      <c r="H147" t="s">
        <v>117</v>
      </c>
    </row>
    <row r="148" spans="1:8">
      <c r="A148" s="29">
        <v>501</v>
      </c>
      <c r="B148" s="30" t="s">
        <v>851</v>
      </c>
      <c r="C148" s="31" t="s">
        <v>852</v>
      </c>
      <c r="D148" s="32">
        <v>10</v>
      </c>
      <c r="E148" s="31" t="s">
        <v>454</v>
      </c>
      <c r="F148" s="33">
        <v>101</v>
      </c>
      <c r="G148" s="31" t="s">
        <v>722</v>
      </c>
      <c r="H148" t="s">
        <v>342</v>
      </c>
    </row>
    <row r="149" spans="1:8">
      <c r="A149" s="29">
        <v>503</v>
      </c>
      <c r="B149" s="30" t="s">
        <v>853</v>
      </c>
      <c r="C149" s="31" t="s">
        <v>854</v>
      </c>
      <c r="D149" s="32">
        <v>10</v>
      </c>
      <c r="E149" s="31" t="s">
        <v>454</v>
      </c>
      <c r="F149" s="33">
        <v>101</v>
      </c>
      <c r="G149" s="31" t="s">
        <v>722</v>
      </c>
      <c r="H149" t="s">
        <v>342</v>
      </c>
    </row>
    <row r="150" spans="1:8">
      <c r="A150" s="29">
        <v>505</v>
      </c>
      <c r="B150" s="30" t="s">
        <v>855</v>
      </c>
      <c r="C150" s="31" t="s">
        <v>856</v>
      </c>
      <c r="D150" s="32">
        <v>10</v>
      </c>
      <c r="E150" s="31" t="s">
        <v>454</v>
      </c>
      <c r="F150" s="33">
        <v>101</v>
      </c>
      <c r="G150" s="31" t="s">
        <v>722</v>
      </c>
      <c r="H150" t="s">
        <v>342</v>
      </c>
    </row>
    <row r="151" spans="1:8">
      <c r="A151" s="29">
        <v>509</v>
      </c>
      <c r="B151" s="30" t="s">
        <v>857</v>
      </c>
      <c r="C151" s="31" t="s">
        <v>858</v>
      </c>
      <c r="D151" s="32">
        <v>10</v>
      </c>
      <c r="E151" s="31" t="s">
        <v>454</v>
      </c>
      <c r="F151" s="33">
        <v>101</v>
      </c>
      <c r="G151" s="31" t="s">
        <v>722</v>
      </c>
      <c r="H151" t="s">
        <v>342</v>
      </c>
    </row>
    <row r="152" spans="1:8">
      <c r="A152" s="29">
        <v>510</v>
      </c>
      <c r="B152" s="30" t="s">
        <v>859</v>
      </c>
      <c r="C152" s="31" t="s">
        <v>860</v>
      </c>
      <c r="D152" s="32">
        <v>10</v>
      </c>
      <c r="E152" s="31" t="s">
        <v>454</v>
      </c>
      <c r="F152" s="33">
        <v>101</v>
      </c>
      <c r="G152" s="31" t="s">
        <v>722</v>
      </c>
      <c r="H152" t="s">
        <v>342</v>
      </c>
    </row>
    <row r="153" spans="1:8">
      <c r="A153" s="29">
        <v>512</v>
      </c>
      <c r="B153" s="30" t="s">
        <v>861</v>
      </c>
      <c r="C153" s="31" t="s">
        <v>862</v>
      </c>
      <c r="D153" s="32">
        <v>10</v>
      </c>
      <c r="E153" s="31" t="s">
        <v>454</v>
      </c>
      <c r="F153" s="33">
        <v>101</v>
      </c>
      <c r="G153" s="31" t="s">
        <v>722</v>
      </c>
      <c r="H153" t="s">
        <v>342</v>
      </c>
    </row>
    <row r="154" spans="1:8">
      <c r="A154" s="29">
        <v>518</v>
      </c>
      <c r="B154" s="30" t="s">
        <v>863</v>
      </c>
      <c r="C154" s="31" t="s">
        <v>864</v>
      </c>
      <c r="D154" s="32">
        <v>10</v>
      </c>
      <c r="E154" s="31" t="s">
        <v>454</v>
      </c>
      <c r="F154" s="33">
        <v>101</v>
      </c>
      <c r="G154" s="31" t="s">
        <v>722</v>
      </c>
      <c r="H154" t="s">
        <v>342</v>
      </c>
    </row>
    <row r="155" spans="1:8">
      <c r="A155" s="29">
        <v>520</v>
      </c>
      <c r="B155" s="30" t="s">
        <v>865</v>
      </c>
      <c r="C155" s="31" t="s">
        <v>866</v>
      </c>
      <c r="D155" s="32">
        <v>10</v>
      </c>
      <c r="E155" s="31" t="s">
        <v>454</v>
      </c>
      <c r="F155" s="33">
        <v>101</v>
      </c>
      <c r="G155" s="31" t="s">
        <v>722</v>
      </c>
      <c r="H155" t="s">
        <v>342</v>
      </c>
    </row>
    <row r="156" spans="1:8">
      <c r="A156" s="29">
        <v>521</v>
      </c>
      <c r="B156" s="30" t="s">
        <v>867</v>
      </c>
      <c r="C156" s="31" t="s">
        <v>868</v>
      </c>
      <c r="D156" s="32">
        <v>10</v>
      </c>
      <c r="E156" s="31" t="s">
        <v>454</v>
      </c>
      <c r="F156" s="33">
        <v>101</v>
      </c>
      <c r="G156" s="31" t="s">
        <v>722</v>
      </c>
      <c r="H156" t="s">
        <v>342</v>
      </c>
    </row>
    <row r="157" spans="1:8">
      <c r="A157" s="29">
        <v>521</v>
      </c>
      <c r="B157" s="30" t="s">
        <v>867</v>
      </c>
      <c r="C157" s="31" t="s">
        <v>868</v>
      </c>
      <c r="D157" s="32">
        <v>181</v>
      </c>
      <c r="E157" s="31" t="s">
        <v>869</v>
      </c>
      <c r="F157" s="33">
        <v>101</v>
      </c>
      <c r="G157" s="31" t="s">
        <v>722</v>
      </c>
      <c r="H157" t="s">
        <v>342</v>
      </c>
    </row>
    <row r="158" spans="1:8">
      <c r="A158" s="29">
        <v>521</v>
      </c>
      <c r="B158" s="30" t="s">
        <v>867</v>
      </c>
      <c r="C158" s="31" t="s">
        <v>868</v>
      </c>
      <c r="D158" s="32">
        <v>182</v>
      </c>
      <c r="E158" s="31" t="s">
        <v>870</v>
      </c>
      <c r="F158" s="33">
        <v>101</v>
      </c>
      <c r="G158" s="31" t="s">
        <v>722</v>
      </c>
      <c r="H158" t="s">
        <v>342</v>
      </c>
    </row>
    <row r="159" spans="1:8">
      <c r="A159" s="29">
        <v>522</v>
      </c>
      <c r="B159" s="30" t="s">
        <v>871</v>
      </c>
      <c r="C159" s="31" t="s">
        <v>872</v>
      </c>
      <c r="D159" s="32">
        <v>10</v>
      </c>
      <c r="E159" s="31" t="s">
        <v>454</v>
      </c>
      <c r="F159" s="33">
        <v>101</v>
      </c>
      <c r="G159" s="31" t="s">
        <v>722</v>
      </c>
      <c r="H159" t="s">
        <v>342</v>
      </c>
    </row>
    <row r="160" spans="1:8">
      <c r="A160" s="29">
        <v>523</v>
      </c>
      <c r="B160" s="30" t="s">
        <v>861</v>
      </c>
      <c r="C160" s="31" t="s">
        <v>873</v>
      </c>
      <c r="D160" s="32">
        <v>10</v>
      </c>
      <c r="E160" s="31" t="s">
        <v>454</v>
      </c>
      <c r="F160" s="33">
        <v>101</v>
      </c>
      <c r="G160" s="31" t="s">
        <v>722</v>
      </c>
      <c r="H160" t="s">
        <v>342</v>
      </c>
    </row>
    <row r="161" spans="1:8">
      <c r="A161" s="29">
        <v>524</v>
      </c>
      <c r="B161" s="30" t="s">
        <v>874</v>
      </c>
      <c r="C161" s="31" t="s">
        <v>875</v>
      </c>
      <c r="D161" s="32">
        <v>10</v>
      </c>
      <c r="E161" s="31" t="s">
        <v>454</v>
      </c>
      <c r="F161" s="33">
        <v>101</v>
      </c>
      <c r="G161" s="31" t="s">
        <v>722</v>
      </c>
      <c r="H161" t="s">
        <v>342</v>
      </c>
    </row>
    <row r="162" spans="1:8">
      <c r="A162" s="29">
        <v>525</v>
      </c>
      <c r="B162" s="30" t="s">
        <v>876</v>
      </c>
      <c r="C162" s="31" t="s">
        <v>877</v>
      </c>
      <c r="D162" s="32">
        <v>10</v>
      </c>
      <c r="E162" s="31" t="s">
        <v>454</v>
      </c>
      <c r="F162" s="33">
        <v>101</v>
      </c>
      <c r="G162" s="31" t="s">
        <v>722</v>
      </c>
      <c r="H162" t="s">
        <v>342</v>
      </c>
    </row>
    <row r="163" spans="1:8">
      <c r="A163" s="29">
        <v>526</v>
      </c>
      <c r="B163" s="30" t="s">
        <v>878</v>
      </c>
      <c r="C163" s="31" t="s">
        <v>879</v>
      </c>
      <c r="D163" s="32">
        <v>10</v>
      </c>
      <c r="E163" s="31" t="s">
        <v>454</v>
      </c>
      <c r="F163" s="33">
        <v>101</v>
      </c>
      <c r="G163" s="31" t="s">
        <v>722</v>
      </c>
      <c r="H163" t="s">
        <v>342</v>
      </c>
    </row>
    <row r="164" spans="1:8">
      <c r="A164" s="29">
        <v>527</v>
      </c>
      <c r="B164" s="30" t="s">
        <v>880</v>
      </c>
      <c r="C164" s="31" t="s">
        <v>881</v>
      </c>
      <c r="D164" s="32">
        <v>10</v>
      </c>
      <c r="E164" s="31" t="s">
        <v>454</v>
      </c>
      <c r="F164" s="33">
        <v>101</v>
      </c>
      <c r="G164" s="31" t="s">
        <v>722</v>
      </c>
      <c r="H164" t="s">
        <v>342</v>
      </c>
    </row>
    <row r="165" spans="1:8">
      <c r="A165" s="29">
        <v>529</v>
      </c>
      <c r="B165" s="30" t="s">
        <v>882</v>
      </c>
      <c r="C165" s="31" t="s">
        <v>883</v>
      </c>
      <c r="D165" s="32">
        <v>10</v>
      </c>
      <c r="E165" s="31" t="s">
        <v>454</v>
      </c>
      <c r="F165" s="33">
        <v>101</v>
      </c>
      <c r="G165" s="31" t="s">
        <v>722</v>
      </c>
      <c r="H165" t="s">
        <v>342</v>
      </c>
    </row>
    <row r="166" spans="1:8">
      <c r="A166" s="29">
        <v>531</v>
      </c>
      <c r="B166" s="30" t="s">
        <v>884</v>
      </c>
      <c r="C166" s="31" t="s">
        <v>885</v>
      </c>
      <c r="D166" s="32">
        <v>10</v>
      </c>
      <c r="E166" s="31" t="s">
        <v>454</v>
      </c>
      <c r="F166" s="33">
        <v>101</v>
      </c>
      <c r="G166" s="31" t="s">
        <v>722</v>
      </c>
      <c r="H166" t="s">
        <v>342</v>
      </c>
    </row>
    <row r="167" spans="1:8">
      <c r="A167" s="29">
        <v>536</v>
      </c>
      <c r="B167" s="30" t="s">
        <v>886</v>
      </c>
      <c r="C167" s="31" t="s">
        <v>456</v>
      </c>
      <c r="D167" s="32">
        <v>10</v>
      </c>
      <c r="E167" s="31" t="s">
        <v>454</v>
      </c>
      <c r="F167" s="33">
        <v>101</v>
      </c>
      <c r="G167" s="31" t="s">
        <v>722</v>
      </c>
      <c r="H167" t="s">
        <v>342</v>
      </c>
    </row>
    <row r="168" spans="1:8">
      <c r="A168" s="29">
        <v>538</v>
      </c>
      <c r="B168" s="30" t="s">
        <v>887</v>
      </c>
      <c r="C168" s="31" t="s">
        <v>456</v>
      </c>
      <c r="D168" s="32">
        <v>10</v>
      </c>
      <c r="E168" s="31" t="s">
        <v>454</v>
      </c>
      <c r="F168" s="33">
        <v>101</v>
      </c>
      <c r="G168" s="31" t="s">
        <v>722</v>
      </c>
      <c r="H168" t="s">
        <v>342</v>
      </c>
    </row>
    <row r="169" spans="1:8">
      <c r="A169" s="29">
        <v>541</v>
      </c>
      <c r="B169" s="30" t="s">
        <v>888</v>
      </c>
      <c r="C169" s="31" t="s">
        <v>652</v>
      </c>
      <c r="D169" s="32">
        <v>10</v>
      </c>
      <c r="E169" s="31" t="s">
        <v>454</v>
      </c>
      <c r="F169" s="33">
        <v>101</v>
      </c>
      <c r="G169" s="31" t="s">
        <v>722</v>
      </c>
      <c r="H169" t="s">
        <v>342</v>
      </c>
    </row>
    <row r="170" spans="1:8">
      <c r="A170" s="29">
        <v>545</v>
      </c>
      <c r="B170" s="30" t="s">
        <v>889</v>
      </c>
      <c r="C170" s="31" t="s">
        <v>890</v>
      </c>
      <c r="D170" s="32">
        <v>10</v>
      </c>
      <c r="E170" s="31" t="s">
        <v>454</v>
      </c>
      <c r="F170" s="33">
        <v>101</v>
      </c>
      <c r="G170" s="31" t="s">
        <v>722</v>
      </c>
      <c r="H170" t="s">
        <v>342</v>
      </c>
    </row>
    <row r="171" spans="1:8">
      <c r="A171" s="29">
        <v>545</v>
      </c>
      <c r="B171" s="30" t="s">
        <v>889</v>
      </c>
      <c r="C171" s="31" t="s">
        <v>890</v>
      </c>
      <c r="D171" s="32">
        <v>181</v>
      </c>
      <c r="E171" s="31" t="s">
        <v>869</v>
      </c>
      <c r="F171" s="33">
        <v>101</v>
      </c>
      <c r="G171" s="31" t="s">
        <v>722</v>
      </c>
      <c r="H171" t="s">
        <v>342</v>
      </c>
    </row>
    <row r="172" spans="1:8">
      <c r="A172" s="29">
        <v>545</v>
      </c>
      <c r="B172" s="30" t="s">
        <v>889</v>
      </c>
      <c r="C172" s="31" t="s">
        <v>890</v>
      </c>
      <c r="D172" s="32">
        <v>182</v>
      </c>
      <c r="E172" s="31" t="s">
        <v>870</v>
      </c>
      <c r="F172" s="33">
        <v>101</v>
      </c>
      <c r="G172" s="31" t="s">
        <v>722</v>
      </c>
      <c r="H172" t="s">
        <v>342</v>
      </c>
    </row>
    <row r="173" spans="1:8">
      <c r="A173" s="29">
        <v>553</v>
      </c>
      <c r="B173" s="30" t="s">
        <v>891</v>
      </c>
      <c r="C173" s="31" t="s">
        <v>892</v>
      </c>
      <c r="D173" s="32">
        <v>10</v>
      </c>
      <c r="E173" s="31" t="s">
        <v>454</v>
      </c>
      <c r="F173" s="33">
        <v>101</v>
      </c>
      <c r="G173" s="31" t="s">
        <v>722</v>
      </c>
      <c r="H173" t="s">
        <v>342</v>
      </c>
    </row>
    <row r="174" spans="1:8">
      <c r="A174" s="29">
        <v>555</v>
      </c>
      <c r="B174" s="30" t="s">
        <v>893</v>
      </c>
      <c r="C174" s="31" t="s">
        <v>894</v>
      </c>
      <c r="D174" s="32">
        <v>10</v>
      </c>
      <c r="E174" s="31" t="s">
        <v>454</v>
      </c>
      <c r="F174" s="33">
        <v>101</v>
      </c>
      <c r="G174" s="31" t="s">
        <v>722</v>
      </c>
      <c r="H174" t="s">
        <v>342</v>
      </c>
    </row>
    <row r="175" spans="1:8">
      <c r="A175" s="29">
        <v>555</v>
      </c>
      <c r="B175" s="30" t="s">
        <v>893</v>
      </c>
      <c r="C175" s="31" t="s">
        <v>894</v>
      </c>
      <c r="D175" s="32">
        <v>181</v>
      </c>
      <c r="E175" s="31" t="s">
        <v>869</v>
      </c>
      <c r="F175" s="33">
        <v>101</v>
      </c>
      <c r="G175" s="31" t="s">
        <v>722</v>
      </c>
      <c r="H175" t="s">
        <v>342</v>
      </c>
    </row>
    <row r="176" spans="1:8">
      <c r="A176" s="29">
        <v>555</v>
      </c>
      <c r="B176" s="30" t="s">
        <v>893</v>
      </c>
      <c r="C176" s="31" t="s">
        <v>894</v>
      </c>
      <c r="D176" s="32">
        <v>182</v>
      </c>
      <c r="E176" s="31" t="s">
        <v>870</v>
      </c>
      <c r="F176" s="33">
        <v>101</v>
      </c>
      <c r="G176" s="31" t="s">
        <v>722</v>
      </c>
      <c r="H176" t="s">
        <v>342</v>
      </c>
    </row>
    <row r="177" spans="1:8">
      <c r="A177" s="29">
        <v>611</v>
      </c>
      <c r="B177" s="30" t="s">
        <v>895</v>
      </c>
      <c r="C177" s="31" t="s">
        <v>896</v>
      </c>
      <c r="D177" s="32">
        <v>10</v>
      </c>
      <c r="E177" s="31" t="s">
        <v>454</v>
      </c>
      <c r="F177" s="33">
        <v>101</v>
      </c>
      <c r="G177" s="31" t="s">
        <v>722</v>
      </c>
      <c r="H177" t="s">
        <v>342</v>
      </c>
    </row>
    <row r="178" spans="1:8">
      <c r="A178" s="29">
        <v>612</v>
      </c>
      <c r="B178" s="30" t="s">
        <v>897</v>
      </c>
      <c r="C178" s="31" t="s">
        <v>898</v>
      </c>
      <c r="D178" s="32">
        <v>10</v>
      </c>
      <c r="E178" s="31" t="s">
        <v>454</v>
      </c>
      <c r="F178" s="33">
        <v>101</v>
      </c>
      <c r="G178" s="31" t="s">
        <v>722</v>
      </c>
      <c r="H178" t="s">
        <v>342</v>
      </c>
    </row>
    <row r="179" spans="1:8">
      <c r="A179" s="29">
        <v>614</v>
      </c>
      <c r="B179" s="30" t="s">
        <v>899</v>
      </c>
      <c r="C179" s="31" t="s">
        <v>900</v>
      </c>
      <c r="D179" s="32">
        <v>10</v>
      </c>
      <c r="E179" s="31" t="s">
        <v>454</v>
      </c>
      <c r="F179" s="33">
        <v>101</v>
      </c>
      <c r="G179" s="31" t="s">
        <v>722</v>
      </c>
      <c r="H179" t="s">
        <v>342</v>
      </c>
    </row>
    <row r="180" spans="1:8">
      <c r="A180" s="29">
        <v>614</v>
      </c>
      <c r="B180" s="30" t="s">
        <v>899</v>
      </c>
      <c r="C180" s="31" t="s">
        <v>900</v>
      </c>
      <c r="D180" s="32">
        <v>181</v>
      </c>
      <c r="E180" s="31" t="s">
        <v>869</v>
      </c>
      <c r="F180" s="33">
        <v>101</v>
      </c>
      <c r="G180" s="31" t="s">
        <v>722</v>
      </c>
      <c r="H180" t="s">
        <v>342</v>
      </c>
    </row>
    <row r="181" spans="1:8">
      <c r="A181" s="29">
        <v>614</v>
      </c>
      <c r="B181" s="30" t="s">
        <v>899</v>
      </c>
      <c r="C181" s="31" t="s">
        <v>900</v>
      </c>
      <c r="D181" s="32">
        <v>182</v>
      </c>
      <c r="E181" s="31" t="s">
        <v>870</v>
      </c>
      <c r="F181" s="33">
        <v>101</v>
      </c>
      <c r="G181" s="31" t="s">
        <v>722</v>
      </c>
      <c r="H181" t="s">
        <v>342</v>
      </c>
    </row>
    <row r="182" spans="1:8">
      <c r="A182" s="29">
        <v>615</v>
      </c>
      <c r="B182" s="30" t="s">
        <v>901</v>
      </c>
      <c r="C182" s="31" t="s">
        <v>902</v>
      </c>
      <c r="D182" s="32">
        <v>10</v>
      </c>
      <c r="E182" s="31" t="s">
        <v>454</v>
      </c>
      <c r="F182" s="33">
        <v>101</v>
      </c>
      <c r="G182" s="31" t="s">
        <v>722</v>
      </c>
      <c r="H182" t="s">
        <v>342</v>
      </c>
    </row>
    <row r="183" spans="1:8">
      <c r="A183" s="29">
        <v>622</v>
      </c>
      <c r="B183" s="30" t="s">
        <v>903</v>
      </c>
      <c r="C183" s="31" t="s">
        <v>904</v>
      </c>
      <c r="D183" s="32">
        <v>40</v>
      </c>
      <c r="E183" s="31" t="s">
        <v>344</v>
      </c>
      <c r="F183" s="33">
        <v>1524</v>
      </c>
      <c r="G183" s="31" t="s">
        <v>749</v>
      </c>
      <c r="H183" t="s">
        <v>342</v>
      </c>
    </row>
    <row r="184" spans="1:8">
      <c r="A184" s="29">
        <v>623</v>
      </c>
      <c r="B184" s="30" t="s">
        <v>905</v>
      </c>
      <c r="C184" s="31" t="s">
        <v>906</v>
      </c>
      <c r="D184" s="32">
        <v>40</v>
      </c>
      <c r="E184" s="31" t="s">
        <v>344</v>
      </c>
      <c r="F184" s="33">
        <v>1524</v>
      </c>
      <c r="G184" s="31" t="s">
        <v>749</v>
      </c>
      <c r="H184" t="s">
        <v>342</v>
      </c>
    </row>
    <row r="185" spans="1:8">
      <c r="A185" s="29">
        <v>625</v>
      </c>
      <c r="B185" s="30" t="s">
        <v>907</v>
      </c>
      <c r="C185" s="31" t="s">
        <v>908</v>
      </c>
      <c r="D185" s="32">
        <v>40</v>
      </c>
      <c r="E185" s="31" t="s">
        <v>344</v>
      </c>
      <c r="F185" s="33">
        <v>1524</v>
      </c>
      <c r="G185" s="31" t="s">
        <v>749</v>
      </c>
      <c r="H185" t="s">
        <v>342</v>
      </c>
    </row>
    <row r="186" spans="1:8">
      <c r="A186" s="29">
        <v>629</v>
      </c>
      <c r="B186" s="30" t="s">
        <v>909</v>
      </c>
      <c r="C186" s="31" t="s">
        <v>910</v>
      </c>
      <c r="D186" s="32">
        <v>40</v>
      </c>
      <c r="E186" s="31" t="s">
        <v>344</v>
      </c>
      <c r="F186" s="33">
        <v>1524</v>
      </c>
      <c r="G186" s="31" t="s">
        <v>749</v>
      </c>
      <c r="H186" t="s">
        <v>342</v>
      </c>
    </row>
    <row r="187" spans="1:8">
      <c r="A187" s="29">
        <v>639</v>
      </c>
      <c r="B187" s="30" t="s">
        <v>903</v>
      </c>
      <c r="C187" s="31" t="s">
        <v>911</v>
      </c>
      <c r="D187" s="32">
        <v>40</v>
      </c>
      <c r="E187" s="31" t="s">
        <v>344</v>
      </c>
      <c r="F187" s="33">
        <v>1524</v>
      </c>
      <c r="G187" s="31" t="s">
        <v>749</v>
      </c>
      <c r="H187" t="s">
        <v>342</v>
      </c>
    </row>
    <row r="188" spans="1:8">
      <c r="A188" s="29">
        <v>647</v>
      </c>
      <c r="B188" s="30" t="s">
        <v>912</v>
      </c>
      <c r="C188" s="31" t="s">
        <v>913</v>
      </c>
      <c r="D188" s="32">
        <v>10</v>
      </c>
      <c r="E188" s="31" t="s">
        <v>454</v>
      </c>
      <c r="F188" s="33">
        <v>101</v>
      </c>
      <c r="G188" s="31" t="s">
        <v>722</v>
      </c>
      <c r="H188" t="s">
        <v>342</v>
      </c>
    </row>
    <row r="189" spans="1:8">
      <c r="A189" s="29">
        <v>648</v>
      </c>
      <c r="B189" s="30" t="s">
        <v>914</v>
      </c>
      <c r="C189" s="31" t="s">
        <v>915</v>
      </c>
      <c r="D189" s="32">
        <v>10</v>
      </c>
      <c r="E189" s="31" t="s">
        <v>454</v>
      </c>
      <c r="F189" s="33">
        <v>101</v>
      </c>
      <c r="G189" s="31" t="s">
        <v>722</v>
      </c>
      <c r="H189" t="s">
        <v>342</v>
      </c>
    </row>
    <row r="190" spans="1:8">
      <c r="A190" s="29">
        <v>649</v>
      </c>
      <c r="B190" s="30" t="s">
        <v>916</v>
      </c>
      <c r="C190" s="31" t="s">
        <v>917</v>
      </c>
      <c r="D190" s="32">
        <v>10</v>
      </c>
      <c r="E190" s="31" t="s">
        <v>454</v>
      </c>
      <c r="F190" s="33">
        <v>101</v>
      </c>
      <c r="G190" s="31" t="s">
        <v>722</v>
      </c>
      <c r="H190" t="s">
        <v>342</v>
      </c>
    </row>
    <row r="191" spans="1:8">
      <c r="A191" s="29">
        <v>651</v>
      </c>
      <c r="B191" s="30" t="s">
        <v>918</v>
      </c>
      <c r="C191" s="31" t="s">
        <v>919</v>
      </c>
      <c r="D191" s="32">
        <v>40</v>
      </c>
      <c r="E191" s="31" t="s">
        <v>344</v>
      </c>
      <c r="F191" s="33">
        <v>1524</v>
      </c>
      <c r="G191" s="31" t="s">
        <v>749</v>
      </c>
      <c r="H191" t="s">
        <v>342</v>
      </c>
    </row>
    <row r="192" spans="1:8">
      <c r="A192" s="29">
        <v>652</v>
      </c>
      <c r="B192" s="30" t="s">
        <v>920</v>
      </c>
      <c r="C192" s="31" t="s">
        <v>921</v>
      </c>
      <c r="D192" s="32">
        <v>10</v>
      </c>
      <c r="E192" s="31" t="s">
        <v>454</v>
      </c>
      <c r="F192" s="33">
        <v>101</v>
      </c>
      <c r="G192" s="31" t="s">
        <v>722</v>
      </c>
      <c r="H192" t="s">
        <v>342</v>
      </c>
    </row>
    <row r="193" spans="1:8">
      <c r="A193" s="29">
        <v>653</v>
      </c>
      <c r="B193" s="30" t="s">
        <v>922</v>
      </c>
      <c r="C193" s="31" t="s">
        <v>923</v>
      </c>
      <c r="D193" s="32">
        <v>40</v>
      </c>
      <c r="E193" s="31" t="s">
        <v>344</v>
      </c>
      <c r="F193" s="33">
        <v>1524</v>
      </c>
      <c r="G193" s="31" t="s">
        <v>749</v>
      </c>
      <c r="H193" t="s">
        <v>342</v>
      </c>
    </row>
    <row r="194" spans="1:8">
      <c r="A194" s="29">
        <v>654</v>
      </c>
      <c r="B194" s="30" t="s">
        <v>924</v>
      </c>
      <c r="C194" s="31" t="s">
        <v>925</v>
      </c>
      <c r="D194" s="32">
        <v>181</v>
      </c>
      <c r="E194" s="31" t="s">
        <v>869</v>
      </c>
      <c r="F194" s="33">
        <v>101</v>
      </c>
      <c r="G194" s="31" t="s">
        <v>722</v>
      </c>
      <c r="H194" t="s">
        <v>342</v>
      </c>
    </row>
    <row r="195" spans="1:8">
      <c r="A195" s="29">
        <v>654</v>
      </c>
      <c r="B195" s="30" t="s">
        <v>924</v>
      </c>
      <c r="C195" s="31" t="s">
        <v>925</v>
      </c>
      <c r="D195" s="32">
        <v>182</v>
      </c>
      <c r="E195" s="31" t="s">
        <v>870</v>
      </c>
      <c r="F195" s="33">
        <v>101</v>
      </c>
      <c r="G195" s="31" t="s">
        <v>722</v>
      </c>
      <c r="H195" t="s">
        <v>342</v>
      </c>
    </row>
    <row r="196" spans="1:8">
      <c r="A196" s="29">
        <v>655</v>
      </c>
      <c r="B196" s="30" t="s">
        <v>926</v>
      </c>
      <c r="C196" s="31" t="s">
        <v>927</v>
      </c>
      <c r="D196" s="32">
        <v>10</v>
      </c>
      <c r="E196" s="31" t="s">
        <v>454</v>
      </c>
      <c r="F196" s="33">
        <v>101</v>
      </c>
      <c r="G196" s="31" t="s">
        <v>722</v>
      </c>
      <c r="H196" t="s">
        <v>342</v>
      </c>
    </row>
    <row r="197" spans="1:8">
      <c r="A197" s="29">
        <v>655</v>
      </c>
      <c r="B197" s="30" t="s">
        <v>926</v>
      </c>
      <c r="C197" s="31" t="s">
        <v>927</v>
      </c>
      <c r="D197" s="32">
        <v>181</v>
      </c>
      <c r="E197" s="31" t="s">
        <v>869</v>
      </c>
      <c r="F197" s="33">
        <v>101</v>
      </c>
      <c r="G197" s="31" t="s">
        <v>722</v>
      </c>
      <c r="H197" t="s">
        <v>342</v>
      </c>
    </row>
    <row r="198" spans="1:8">
      <c r="A198" s="29">
        <v>657</v>
      </c>
      <c r="B198" s="30" t="s">
        <v>928</v>
      </c>
      <c r="C198" s="31" t="s">
        <v>929</v>
      </c>
      <c r="D198" s="32">
        <v>40</v>
      </c>
      <c r="E198" s="31" t="s">
        <v>344</v>
      </c>
      <c r="F198" s="33">
        <v>1524</v>
      </c>
      <c r="G198" s="31" t="s">
        <v>749</v>
      </c>
      <c r="H198" t="s">
        <v>342</v>
      </c>
    </row>
    <row r="199" spans="1:8">
      <c r="A199" s="29">
        <v>673</v>
      </c>
      <c r="B199" s="30" t="s">
        <v>931</v>
      </c>
      <c r="C199" s="31" t="s">
        <v>932</v>
      </c>
      <c r="D199" s="32">
        <v>10</v>
      </c>
      <c r="E199" s="31" t="s">
        <v>454</v>
      </c>
      <c r="F199" s="33">
        <v>101</v>
      </c>
      <c r="G199" s="31" t="s">
        <v>722</v>
      </c>
      <c r="H199" t="s">
        <v>342</v>
      </c>
    </row>
    <row r="200" spans="1:8">
      <c r="A200" s="29">
        <v>675</v>
      </c>
      <c r="B200" s="30" t="s">
        <v>933</v>
      </c>
      <c r="C200" s="31" t="s">
        <v>934</v>
      </c>
      <c r="D200" s="32">
        <v>10</v>
      </c>
      <c r="E200" s="31" t="s">
        <v>454</v>
      </c>
      <c r="F200" s="33">
        <v>101</v>
      </c>
      <c r="G200" s="31" t="s">
        <v>722</v>
      </c>
      <c r="H200" t="s">
        <v>342</v>
      </c>
    </row>
    <row r="201" spans="1:8">
      <c r="A201" s="29">
        <v>676</v>
      </c>
      <c r="B201" s="30" t="s">
        <v>935</v>
      </c>
      <c r="C201" s="31" t="s">
        <v>936</v>
      </c>
      <c r="D201" s="32">
        <v>10</v>
      </c>
      <c r="E201" s="31" t="s">
        <v>454</v>
      </c>
      <c r="F201" s="33">
        <v>101</v>
      </c>
      <c r="G201" s="31" t="s">
        <v>722</v>
      </c>
      <c r="H201" t="s">
        <v>342</v>
      </c>
    </row>
    <row r="202" spans="1:8">
      <c r="A202" s="29">
        <v>708</v>
      </c>
      <c r="B202" s="30" t="s">
        <v>937</v>
      </c>
      <c r="C202" s="31" t="s">
        <v>938</v>
      </c>
      <c r="D202" s="32">
        <v>159</v>
      </c>
      <c r="E202" s="31" t="s">
        <v>178</v>
      </c>
      <c r="F202" s="33">
        <v>1005</v>
      </c>
      <c r="G202" s="31" t="s">
        <v>939</v>
      </c>
      <c r="H202" t="s">
        <v>118</v>
      </c>
    </row>
    <row r="203" spans="1:8">
      <c r="A203" s="29">
        <v>713</v>
      </c>
      <c r="B203" s="30" t="s">
        <v>940</v>
      </c>
      <c r="C203" s="31" t="s">
        <v>941</v>
      </c>
      <c r="D203" s="32">
        <v>161</v>
      </c>
      <c r="E203" s="31" t="s">
        <v>942</v>
      </c>
      <c r="F203" s="33">
        <v>1593</v>
      </c>
      <c r="G203" s="31" t="s">
        <v>943</v>
      </c>
      <c r="H203" t="s">
        <v>118</v>
      </c>
    </row>
    <row r="204" spans="1:8">
      <c r="A204" s="29">
        <v>729</v>
      </c>
      <c r="B204" s="30" t="s">
        <v>944</v>
      </c>
      <c r="C204" s="31" t="s">
        <v>945</v>
      </c>
      <c r="D204" s="32">
        <v>162</v>
      </c>
      <c r="E204" s="31" t="s">
        <v>946</v>
      </c>
      <c r="F204" s="33">
        <v>1185</v>
      </c>
      <c r="G204" s="31" t="s">
        <v>947</v>
      </c>
      <c r="H204" t="s">
        <v>118</v>
      </c>
    </row>
    <row r="205" spans="1:8">
      <c r="A205" s="29">
        <v>730</v>
      </c>
      <c r="B205" s="30" t="s">
        <v>948</v>
      </c>
      <c r="C205" s="31" t="s">
        <v>945</v>
      </c>
      <c r="D205" s="32">
        <v>162</v>
      </c>
      <c r="E205" s="31" t="s">
        <v>946</v>
      </c>
      <c r="F205" s="33">
        <v>1185</v>
      </c>
      <c r="G205" s="31" t="s">
        <v>947</v>
      </c>
      <c r="H205" t="s">
        <v>118</v>
      </c>
    </row>
    <row r="206" spans="1:8">
      <c r="A206" s="29">
        <v>739</v>
      </c>
      <c r="B206" s="30" t="s">
        <v>949</v>
      </c>
      <c r="C206" s="31" t="s">
        <v>950</v>
      </c>
      <c r="D206" s="32">
        <v>103</v>
      </c>
      <c r="E206" s="31" t="s">
        <v>590</v>
      </c>
      <c r="F206" s="33">
        <v>1732</v>
      </c>
      <c r="G206" s="31" t="s">
        <v>459</v>
      </c>
      <c r="H206" t="s">
        <v>118</v>
      </c>
    </row>
    <row r="207" spans="1:8">
      <c r="A207" s="29">
        <v>739</v>
      </c>
      <c r="B207" s="30" t="s">
        <v>949</v>
      </c>
      <c r="C207" s="31" t="s">
        <v>950</v>
      </c>
      <c r="D207" s="32">
        <v>159</v>
      </c>
      <c r="E207" s="31" t="s">
        <v>178</v>
      </c>
      <c r="F207" s="33">
        <v>1732</v>
      </c>
      <c r="G207" s="31" t="s">
        <v>459</v>
      </c>
      <c r="H207" t="s">
        <v>118</v>
      </c>
    </row>
    <row r="208" spans="1:8">
      <c r="A208" s="29">
        <v>746</v>
      </c>
      <c r="B208" s="30" t="s">
        <v>951</v>
      </c>
      <c r="C208" s="31" t="s">
        <v>952</v>
      </c>
      <c r="D208" s="32">
        <v>10</v>
      </c>
      <c r="E208" s="31" t="s">
        <v>454</v>
      </c>
      <c r="F208" s="33">
        <v>1184</v>
      </c>
      <c r="G208" s="31" t="s">
        <v>953</v>
      </c>
      <c r="H208" t="s">
        <v>342</v>
      </c>
    </row>
    <row r="209" spans="1:8">
      <c r="A209" s="29">
        <v>755</v>
      </c>
      <c r="B209" s="30" t="s">
        <v>954</v>
      </c>
      <c r="C209" s="31" t="s">
        <v>955</v>
      </c>
      <c r="D209" s="32">
        <v>168</v>
      </c>
      <c r="E209" s="31" t="s">
        <v>956</v>
      </c>
      <c r="F209" s="33">
        <v>1188</v>
      </c>
      <c r="G209" s="31" t="s">
        <v>957</v>
      </c>
      <c r="H209" t="s">
        <v>118</v>
      </c>
    </row>
    <row r="210" spans="1:8">
      <c r="A210" s="29">
        <v>758</v>
      </c>
      <c r="B210" s="30" t="s">
        <v>958</v>
      </c>
      <c r="C210" s="31" t="s">
        <v>955</v>
      </c>
      <c r="D210" s="32">
        <v>168</v>
      </c>
      <c r="E210" s="31" t="s">
        <v>956</v>
      </c>
      <c r="F210" s="33">
        <v>1188</v>
      </c>
      <c r="G210" s="31" t="s">
        <v>957</v>
      </c>
      <c r="H210" t="s">
        <v>118</v>
      </c>
    </row>
    <row r="211" spans="1:8">
      <c r="A211" s="29">
        <v>777</v>
      </c>
      <c r="B211" s="30" t="s">
        <v>959</v>
      </c>
      <c r="C211" s="31" t="s">
        <v>960</v>
      </c>
      <c r="D211" s="32">
        <v>10</v>
      </c>
      <c r="E211" s="31" t="s">
        <v>454</v>
      </c>
      <c r="F211" s="33">
        <v>1153</v>
      </c>
      <c r="G211" s="31" t="s">
        <v>930</v>
      </c>
      <c r="H211" t="s">
        <v>342</v>
      </c>
    </row>
    <row r="212" spans="1:8">
      <c r="A212" s="29">
        <v>778</v>
      </c>
      <c r="B212" s="30" t="s">
        <v>961</v>
      </c>
      <c r="C212" s="31" t="s">
        <v>962</v>
      </c>
      <c r="D212" s="32">
        <v>10</v>
      </c>
      <c r="E212" s="31" t="s">
        <v>454</v>
      </c>
      <c r="F212" s="33">
        <v>1153</v>
      </c>
      <c r="G212" s="31" t="s">
        <v>930</v>
      </c>
      <c r="H212" t="s">
        <v>342</v>
      </c>
    </row>
    <row r="213" spans="1:8">
      <c r="A213" s="29">
        <v>782</v>
      </c>
      <c r="B213" s="30" t="s">
        <v>963</v>
      </c>
      <c r="C213" s="31" t="s">
        <v>500</v>
      </c>
      <c r="D213" s="32">
        <v>25</v>
      </c>
      <c r="E213" s="31" t="s">
        <v>514</v>
      </c>
      <c r="F213" s="33">
        <v>1701</v>
      </c>
      <c r="G213" s="31" t="s">
        <v>515</v>
      </c>
      <c r="H213" t="s">
        <v>118</v>
      </c>
    </row>
    <row r="214" spans="1:8">
      <c r="A214" s="29">
        <v>789</v>
      </c>
      <c r="B214" s="30" t="s">
        <v>964</v>
      </c>
      <c r="C214" s="31" t="s">
        <v>965</v>
      </c>
      <c r="D214" s="32">
        <v>180</v>
      </c>
      <c r="E214" s="31" t="s">
        <v>966</v>
      </c>
      <c r="F214" s="33">
        <v>1200</v>
      </c>
      <c r="G214" s="31" t="s">
        <v>967</v>
      </c>
      <c r="H214" t="s">
        <v>118</v>
      </c>
    </row>
    <row r="215" spans="1:8">
      <c r="A215" s="29">
        <v>797</v>
      </c>
      <c r="B215" s="30" t="s">
        <v>968</v>
      </c>
      <c r="C215" s="31" t="s">
        <v>969</v>
      </c>
      <c r="D215" s="32">
        <v>184</v>
      </c>
      <c r="E215" s="31" t="s">
        <v>970</v>
      </c>
      <c r="F215" s="33">
        <v>1645</v>
      </c>
      <c r="G215" s="31" t="s">
        <v>971</v>
      </c>
      <c r="H215" t="s">
        <v>1545</v>
      </c>
    </row>
    <row r="216" spans="1:8">
      <c r="A216" s="29">
        <v>800</v>
      </c>
      <c r="B216" s="30" t="s">
        <v>972</v>
      </c>
      <c r="C216" s="31" t="s">
        <v>973</v>
      </c>
      <c r="D216" s="32">
        <v>186</v>
      </c>
      <c r="E216" s="31" t="s">
        <v>974</v>
      </c>
      <c r="F216" s="33">
        <v>1164</v>
      </c>
      <c r="G216" s="31" t="s">
        <v>975</v>
      </c>
      <c r="H216" t="s">
        <v>117</v>
      </c>
    </row>
    <row r="217" spans="1:8">
      <c r="A217" s="29">
        <v>801</v>
      </c>
      <c r="B217" s="30" t="s">
        <v>976</v>
      </c>
      <c r="C217" s="31" t="s">
        <v>977</v>
      </c>
      <c r="D217" s="32">
        <v>187</v>
      </c>
      <c r="E217" s="31" t="s">
        <v>978</v>
      </c>
      <c r="F217" s="33">
        <v>1783</v>
      </c>
      <c r="G217" s="31" t="s">
        <v>979</v>
      </c>
      <c r="H217" t="s">
        <v>117</v>
      </c>
    </row>
    <row r="218" spans="1:8">
      <c r="A218" s="29">
        <v>810</v>
      </c>
      <c r="B218" s="30" t="s">
        <v>755</v>
      </c>
      <c r="C218" s="31" t="s">
        <v>760</v>
      </c>
      <c r="D218" s="32">
        <v>114</v>
      </c>
      <c r="E218" s="31" t="s">
        <v>757</v>
      </c>
      <c r="F218" s="33">
        <v>1158</v>
      </c>
      <c r="G218" s="31" t="s">
        <v>758</v>
      </c>
      <c r="H218" t="s">
        <v>117</v>
      </c>
    </row>
    <row r="219" spans="1:8">
      <c r="A219" s="29">
        <v>829</v>
      </c>
      <c r="B219" s="30" t="s">
        <v>980</v>
      </c>
      <c r="C219" s="31" t="s">
        <v>981</v>
      </c>
      <c r="D219" s="32">
        <v>195</v>
      </c>
      <c r="E219" s="31" t="s">
        <v>982</v>
      </c>
      <c r="F219" s="33">
        <v>1760</v>
      </c>
      <c r="G219" s="31" t="s">
        <v>591</v>
      </c>
      <c r="H219" t="s">
        <v>118</v>
      </c>
    </row>
    <row r="220" spans="1:8">
      <c r="A220" s="29">
        <v>845</v>
      </c>
      <c r="B220" s="30" t="s">
        <v>983</v>
      </c>
      <c r="C220" s="31" t="s">
        <v>984</v>
      </c>
      <c r="D220" s="32">
        <v>196</v>
      </c>
      <c r="E220" s="31" t="s">
        <v>985</v>
      </c>
      <c r="F220" s="33">
        <v>1249</v>
      </c>
      <c r="G220" s="31" t="s">
        <v>986</v>
      </c>
      <c r="H220" t="s">
        <v>118</v>
      </c>
    </row>
    <row r="221" spans="1:8">
      <c r="A221" s="29">
        <v>846</v>
      </c>
      <c r="B221" s="30" t="s">
        <v>987</v>
      </c>
      <c r="C221" s="31" t="s">
        <v>988</v>
      </c>
      <c r="D221" s="32">
        <v>196</v>
      </c>
      <c r="E221" s="31" t="s">
        <v>985</v>
      </c>
      <c r="F221" s="33">
        <v>1249</v>
      </c>
      <c r="G221" s="31" t="s">
        <v>986</v>
      </c>
      <c r="H221" t="s">
        <v>118</v>
      </c>
    </row>
    <row r="222" spans="1:8">
      <c r="A222" s="29">
        <v>856</v>
      </c>
      <c r="B222" s="30" t="s">
        <v>989</v>
      </c>
      <c r="C222" s="31" t="s">
        <v>528</v>
      </c>
      <c r="D222" s="32">
        <v>201</v>
      </c>
      <c r="E222" s="31" t="s">
        <v>990</v>
      </c>
      <c r="F222" s="33">
        <v>1208</v>
      </c>
      <c r="G222" s="31" t="s">
        <v>991</v>
      </c>
      <c r="H222" t="s">
        <v>118</v>
      </c>
    </row>
    <row r="223" spans="1:8">
      <c r="A223" s="29">
        <v>897</v>
      </c>
      <c r="B223" s="30" t="s">
        <v>992</v>
      </c>
      <c r="C223" s="31" t="s">
        <v>501</v>
      </c>
      <c r="D223" s="32">
        <v>214</v>
      </c>
      <c r="E223" s="31" t="s">
        <v>993</v>
      </c>
      <c r="F223" s="33">
        <v>1313</v>
      </c>
      <c r="G223" s="31" t="s">
        <v>994</v>
      </c>
      <c r="H223" t="s">
        <v>118</v>
      </c>
    </row>
    <row r="224" spans="1:8">
      <c r="A224" s="29">
        <v>902</v>
      </c>
      <c r="B224" s="30" t="s">
        <v>995</v>
      </c>
      <c r="C224" s="31" t="s">
        <v>489</v>
      </c>
      <c r="D224" s="32">
        <v>216</v>
      </c>
      <c r="E224" s="31" t="s">
        <v>996</v>
      </c>
      <c r="F224" s="33">
        <v>1328</v>
      </c>
      <c r="G224" s="31" t="s">
        <v>997</v>
      </c>
      <c r="H224" t="s">
        <v>118</v>
      </c>
    </row>
    <row r="225" spans="1:8">
      <c r="A225" s="29">
        <v>904</v>
      </c>
      <c r="B225" s="30" t="s">
        <v>998</v>
      </c>
      <c r="C225" s="31" t="s">
        <v>999</v>
      </c>
      <c r="D225" s="32">
        <v>215</v>
      </c>
      <c r="E225" s="31" t="s">
        <v>1000</v>
      </c>
      <c r="F225" s="33">
        <v>1329</v>
      </c>
      <c r="G225" s="31" t="s">
        <v>1001</v>
      </c>
      <c r="H225" t="s">
        <v>118</v>
      </c>
    </row>
    <row r="226" spans="1:8">
      <c r="A226" s="29">
        <v>907</v>
      </c>
      <c r="B226" s="30" t="s">
        <v>1002</v>
      </c>
      <c r="C226" s="31" t="s">
        <v>1003</v>
      </c>
      <c r="D226" s="32">
        <v>219</v>
      </c>
      <c r="E226" s="31" t="s">
        <v>1004</v>
      </c>
      <c r="F226" s="33">
        <v>1154</v>
      </c>
      <c r="G226" s="31" t="s">
        <v>677</v>
      </c>
      <c r="H226" t="s">
        <v>118</v>
      </c>
    </row>
    <row r="227" spans="1:8">
      <c r="A227" s="29">
        <v>909</v>
      </c>
      <c r="B227" s="30" t="s">
        <v>1005</v>
      </c>
      <c r="C227" s="31" t="s">
        <v>1006</v>
      </c>
      <c r="D227" s="32">
        <v>221</v>
      </c>
      <c r="E227" s="31" t="s">
        <v>1007</v>
      </c>
      <c r="F227" s="33">
        <v>1332</v>
      </c>
      <c r="G227" s="31" t="s">
        <v>1008</v>
      </c>
      <c r="H227" t="s">
        <v>118</v>
      </c>
    </row>
    <row r="228" spans="1:8">
      <c r="A228" s="29">
        <v>925</v>
      </c>
      <c r="B228" s="30" t="s">
        <v>1009</v>
      </c>
      <c r="C228" s="31" t="s">
        <v>1010</v>
      </c>
      <c r="D228" s="32">
        <v>224</v>
      </c>
      <c r="E228" s="31" t="s">
        <v>1011</v>
      </c>
      <c r="F228" s="33">
        <v>1337</v>
      </c>
      <c r="G228" s="31" t="s">
        <v>1012</v>
      </c>
      <c r="H228" t="s">
        <v>118</v>
      </c>
    </row>
    <row r="229" spans="1:8">
      <c r="A229" s="29">
        <v>932</v>
      </c>
      <c r="B229" s="30" t="s">
        <v>1013</v>
      </c>
      <c r="C229" s="31" t="s">
        <v>1014</v>
      </c>
      <c r="D229" s="32">
        <v>135</v>
      </c>
      <c r="E229" s="31" t="s">
        <v>1015</v>
      </c>
      <c r="F229" s="33">
        <v>1612</v>
      </c>
      <c r="G229" s="31" t="s">
        <v>752</v>
      </c>
      <c r="H229" t="s">
        <v>118</v>
      </c>
    </row>
    <row r="230" spans="1:8">
      <c r="A230" s="29">
        <v>934</v>
      </c>
      <c r="B230" s="30" t="s">
        <v>1016</v>
      </c>
      <c r="C230" s="31" t="s">
        <v>501</v>
      </c>
      <c r="D230" s="32">
        <v>214</v>
      </c>
      <c r="E230" s="31" t="s">
        <v>993</v>
      </c>
      <c r="F230" s="33">
        <v>1313</v>
      </c>
      <c r="G230" s="31" t="s">
        <v>994</v>
      </c>
      <c r="H230" t="s">
        <v>118</v>
      </c>
    </row>
    <row r="231" spans="1:8">
      <c r="A231" s="29">
        <v>937</v>
      </c>
      <c r="B231" s="30" t="s">
        <v>1017</v>
      </c>
      <c r="C231" s="31" t="s">
        <v>1018</v>
      </c>
      <c r="D231" s="32">
        <v>228</v>
      </c>
      <c r="E231" s="31" t="s">
        <v>1019</v>
      </c>
      <c r="F231" s="33">
        <v>708</v>
      </c>
      <c r="G231" s="31" t="s">
        <v>1020</v>
      </c>
      <c r="H231" t="s">
        <v>117</v>
      </c>
    </row>
    <row r="232" spans="1:8">
      <c r="A232" s="29">
        <v>939</v>
      </c>
      <c r="B232" s="30" t="s">
        <v>1022</v>
      </c>
      <c r="C232" s="31" t="s">
        <v>714</v>
      </c>
      <c r="D232" s="32">
        <v>102</v>
      </c>
      <c r="E232" s="31" t="s">
        <v>687</v>
      </c>
      <c r="F232" s="33">
        <v>1345</v>
      </c>
      <c r="G232" s="31" t="s">
        <v>1021</v>
      </c>
      <c r="H232" t="s">
        <v>120</v>
      </c>
    </row>
    <row r="233" spans="1:8">
      <c r="A233" s="29">
        <v>943</v>
      </c>
      <c r="B233" s="30" t="s">
        <v>755</v>
      </c>
      <c r="C233" s="31" t="s">
        <v>1023</v>
      </c>
      <c r="D233" s="32">
        <v>114</v>
      </c>
      <c r="E233" s="31" t="s">
        <v>757</v>
      </c>
      <c r="F233" s="33">
        <v>1158</v>
      </c>
      <c r="G233" s="31" t="s">
        <v>758</v>
      </c>
      <c r="H233" t="s">
        <v>117</v>
      </c>
    </row>
    <row r="234" spans="1:8">
      <c r="A234" s="29">
        <v>944</v>
      </c>
      <c r="B234" s="30" t="s">
        <v>1024</v>
      </c>
      <c r="C234" s="31" t="s">
        <v>1025</v>
      </c>
      <c r="D234" s="32">
        <v>231</v>
      </c>
      <c r="E234" s="31" t="s">
        <v>1026</v>
      </c>
      <c r="F234" s="33">
        <v>1731</v>
      </c>
      <c r="G234" s="31" t="s">
        <v>1027</v>
      </c>
      <c r="H234" t="s">
        <v>118</v>
      </c>
    </row>
    <row r="235" spans="1:8">
      <c r="A235" s="29">
        <v>948</v>
      </c>
      <c r="B235" s="30" t="s">
        <v>1028</v>
      </c>
      <c r="C235" s="31" t="s">
        <v>1029</v>
      </c>
      <c r="D235" s="32">
        <v>268</v>
      </c>
      <c r="E235" s="31" t="s">
        <v>1031</v>
      </c>
      <c r="F235" s="33">
        <v>1358</v>
      </c>
      <c r="G235" s="31" t="s">
        <v>1030</v>
      </c>
      <c r="H235" t="s">
        <v>117</v>
      </c>
    </row>
    <row r="236" spans="1:8">
      <c r="A236" s="29">
        <v>949</v>
      </c>
      <c r="B236" s="30" t="s">
        <v>1032</v>
      </c>
      <c r="C236" s="31" t="s">
        <v>1033</v>
      </c>
      <c r="D236" s="32">
        <v>268</v>
      </c>
      <c r="E236" s="31" t="s">
        <v>1031</v>
      </c>
      <c r="F236" s="33">
        <v>1358</v>
      </c>
      <c r="G236" s="31" t="s">
        <v>1030</v>
      </c>
      <c r="H236" t="s">
        <v>117</v>
      </c>
    </row>
    <row r="237" spans="1:8">
      <c r="A237" s="29">
        <v>963</v>
      </c>
      <c r="B237" s="30" t="s">
        <v>1034</v>
      </c>
      <c r="C237" s="31" t="s">
        <v>1035</v>
      </c>
      <c r="D237" s="32">
        <v>127</v>
      </c>
      <c r="E237" s="31" t="s">
        <v>767</v>
      </c>
      <c r="F237" s="33">
        <v>1362</v>
      </c>
      <c r="G237" s="31" t="s">
        <v>1036</v>
      </c>
      <c r="H237" t="s">
        <v>118</v>
      </c>
    </row>
    <row r="238" spans="1:8">
      <c r="A238" s="29">
        <v>964</v>
      </c>
      <c r="B238" s="30" t="s">
        <v>1037</v>
      </c>
      <c r="C238" s="31" t="s">
        <v>1035</v>
      </c>
      <c r="D238" s="32">
        <v>127</v>
      </c>
      <c r="E238" s="31" t="s">
        <v>767</v>
      </c>
      <c r="F238" s="33">
        <v>1363</v>
      </c>
      <c r="G238" s="31" t="s">
        <v>1038</v>
      </c>
      <c r="H238" t="s">
        <v>118</v>
      </c>
    </row>
    <row r="239" spans="1:8">
      <c r="A239" s="29">
        <v>964</v>
      </c>
      <c r="B239" s="30" t="s">
        <v>1037</v>
      </c>
      <c r="C239" s="31" t="s">
        <v>1035</v>
      </c>
      <c r="D239" s="32">
        <v>128</v>
      </c>
      <c r="E239" s="31" t="s">
        <v>119</v>
      </c>
      <c r="F239" s="33">
        <v>1363</v>
      </c>
      <c r="G239" s="31" t="s">
        <v>1038</v>
      </c>
      <c r="H239" t="s">
        <v>118</v>
      </c>
    </row>
    <row r="240" spans="1:8">
      <c r="A240" s="29">
        <v>966</v>
      </c>
      <c r="B240" s="30" t="s">
        <v>1039</v>
      </c>
      <c r="C240" s="31" t="s">
        <v>1035</v>
      </c>
      <c r="D240" s="32">
        <v>127</v>
      </c>
      <c r="E240" s="31" t="s">
        <v>767</v>
      </c>
      <c r="F240" s="33">
        <v>1363</v>
      </c>
      <c r="G240" s="31" t="s">
        <v>1038</v>
      </c>
      <c r="H240" t="s">
        <v>118</v>
      </c>
    </row>
    <row r="241" spans="1:8">
      <c r="A241" s="29">
        <v>967</v>
      </c>
      <c r="B241" s="30" t="s">
        <v>1040</v>
      </c>
      <c r="C241" s="31" t="s">
        <v>1035</v>
      </c>
      <c r="D241" s="32">
        <v>127</v>
      </c>
      <c r="E241" s="31" t="s">
        <v>767</v>
      </c>
      <c r="F241" s="33">
        <v>1363</v>
      </c>
      <c r="G241" s="31" t="s">
        <v>1038</v>
      </c>
      <c r="H241" t="s">
        <v>118</v>
      </c>
    </row>
    <row r="242" spans="1:8">
      <c r="A242" s="29">
        <v>970</v>
      </c>
      <c r="B242" s="30" t="s">
        <v>1041</v>
      </c>
      <c r="C242" s="31" t="s">
        <v>1035</v>
      </c>
      <c r="D242" s="32">
        <v>127</v>
      </c>
      <c r="E242" s="31" t="s">
        <v>767</v>
      </c>
      <c r="F242" s="33">
        <v>1363</v>
      </c>
      <c r="G242" s="31" t="s">
        <v>1038</v>
      </c>
      <c r="H242" t="s">
        <v>118</v>
      </c>
    </row>
    <row r="243" spans="1:8">
      <c r="A243" s="29">
        <v>976</v>
      </c>
      <c r="B243" s="30" t="s">
        <v>1042</v>
      </c>
      <c r="C243" s="31" t="s">
        <v>837</v>
      </c>
      <c r="D243" s="32">
        <v>102</v>
      </c>
      <c r="E243" s="31" t="s">
        <v>687</v>
      </c>
      <c r="F243" s="33">
        <v>1357</v>
      </c>
      <c r="G243" s="31" t="s">
        <v>1043</v>
      </c>
      <c r="H243" t="s">
        <v>120</v>
      </c>
    </row>
    <row r="244" spans="1:8">
      <c r="A244" s="29">
        <v>980</v>
      </c>
      <c r="B244" s="30" t="s">
        <v>1044</v>
      </c>
      <c r="C244" s="31" t="s">
        <v>1045</v>
      </c>
      <c r="D244" s="32">
        <v>103</v>
      </c>
      <c r="E244" s="31" t="s">
        <v>590</v>
      </c>
      <c r="F244" s="33">
        <v>1760</v>
      </c>
      <c r="G244" s="31" t="s">
        <v>591</v>
      </c>
      <c r="H244" t="s">
        <v>118</v>
      </c>
    </row>
    <row r="245" spans="1:8">
      <c r="A245" s="29">
        <v>984</v>
      </c>
      <c r="B245" s="30" t="s">
        <v>1046</v>
      </c>
      <c r="C245" s="31" t="s">
        <v>1047</v>
      </c>
      <c r="D245" s="32">
        <v>238</v>
      </c>
      <c r="E245" s="31" t="s">
        <v>1048</v>
      </c>
      <c r="F245" s="33">
        <v>1366</v>
      </c>
      <c r="G245" s="31" t="s">
        <v>1049</v>
      </c>
      <c r="H245" t="s">
        <v>117</v>
      </c>
    </row>
    <row r="246" spans="1:8">
      <c r="A246" s="29">
        <v>994</v>
      </c>
      <c r="B246" s="30" t="s">
        <v>1050</v>
      </c>
      <c r="C246" s="31" t="s">
        <v>1051</v>
      </c>
      <c r="D246" s="32">
        <v>240</v>
      </c>
      <c r="E246" s="31" t="s">
        <v>1052</v>
      </c>
      <c r="F246" s="33">
        <v>1383</v>
      </c>
      <c r="G246" s="31" t="s">
        <v>1053</v>
      </c>
      <c r="H246" t="s">
        <v>118</v>
      </c>
    </row>
    <row r="247" spans="1:8">
      <c r="A247" s="29">
        <v>1006</v>
      </c>
      <c r="B247" s="30" t="s">
        <v>1054</v>
      </c>
      <c r="C247" s="31" t="s">
        <v>1055</v>
      </c>
      <c r="D247" s="32">
        <v>76</v>
      </c>
      <c r="E247" s="31" t="s">
        <v>1056</v>
      </c>
      <c r="F247" s="33">
        <v>1626</v>
      </c>
      <c r="G247" s="31" t="s">
        <v>1057</v>
      </c>
      <c r="H247" t="s">
        <v>117</v>
      </c>
    </row>
    <row r="248" spans="1:8">
      <c r="A248" s="29">
        <v>1007</v>
      </c>
      <c r="B248" s="30"/>
      <c r="C248" s="31" t="s">
        <v>1058</v>
      </c>
      <c r="D248" s="32">
        <v>166</v>
      </c>
      <c r="E248" s="31" t="s">
        <v>1059</v>
      </c>
      <c r="F248" s="33">
        <v>1626</v>
      </c>
      <c r="G248" s="31" t="s">
        <v>1057</v>
      </c>
      <c r="H248" t="s">
        <v>117</v>
      </c>
    </row>
    <row r="249" spans="1:8">
      <c r="A249" s="29">
        <v>1010</v>
      </c>
      <c r="B249" s="30" t="s">
        <v>1060</v>
      </c>
      <c r="C249" s="31" t="s">
        <v>1061</v>
      </c>
      <c r="D249" s="32">
        <v>1000</v>
      </c>
      <c r="E249" s="31" t="s">
        <v>1062</v>
      </c>
      <c r="F249" s="33">
        <v>1000</v>
      </c>
      <c r="G249" s="31" t="s">
        <v>1063</v>
      </c>
      <c r="H249" t="s">
        <v>342</v>
      </c>
    </row>
    <row r="250" spans="1:8">
      <c r="A250" s="29">
        <v>1020</v>
      </c>
      <c r="B250" s="30" t="s">
        <v>1064</v>
      </c>
      <c r="C250" s="31" t="s">
        <v>1065</v>
      </c>
      <c r="D250" s="32">
        <v>1000</v>
      </c>
      <c r="E250" s="31" t="s">
        <v>1062</v>
      </c>
      <c r="F250" s="33">
        <v>1000</v>
      </c>
      <c r="G250" s="31" t="s">
        <v>1063</v>
      </c>
      <c r="H250" t="s">
        <v>342</v>
      </c>
    </row>
    <row r="251" spans="1:8">
      <c r="A251" s="29">
        <v>1035</v>
      </c>
      <c r="B251" s="30" t="s">
        <v>1066</v>
      </c>
      <c r="C251" s="31" t="s">
        <v>1067</v>
      </c>
      <c r="D251" s="32">
        <v>92</v>
      </c>
      <c r="E251" s="31" t="s">
        <v>1068</v>
      </c>
      <c r="F251" s="33">
        <v>1626</v>
      </c>
      <c r="G251" s="31" t="s">
        <v>1057</v>
      </c>
      <c r="H251" t="s">
        <v>117</v>
      </c>
    </row>
    <row r="252" spans="1:8">
      <c r="A252" s="29">
        <v>1036</v>
      </c>
      <c r="B252" s="30" t="s">
        <v>1069</v>
      </c>
      <c r="C252" s="31" t="s">
        <v>1070</v>
      </c>
      <c r="D252" s="32">
        <v>77</v>
      </c>
      <c r="E252" s="31" t="s">
        <v>1071</v>
      </c>
      <c r="F252" s="33">
        <v>1630</v>
      </c>
      <c r="G252" s="31" t="s">
        <v>1072</v>
      </c>
      <c r="H252" t="s">
        <v>117</v>
      </c>
    </row>
    <row r="253" spans="1:8">
      <c r="A253" s="29">
        <v>1210</v>
      </c>
      <c r="B253" s="30" t="s">
        <v>1073</v>
      </c>
      <c r="C253" s="31" t="s">
        <v>1074</v>
      </c>
      <c r="D253" s="32">
        <v>1200</v>
      </c>
      <c r="E253" s="31" t="s">
        <v>1075</v>
      </c>
      <c r="F253" s="33">
        <v>1200</v>
      </c>
      <c r="G253" s="31" t="s">
        <v>967</v>
      </c>
      <c r="H253" t="s">
        <v>118</v>
      </c>
    </row>
    <row r="254" spans="1:8">
      <c r="A254" s="29">
        <v>1220</v>
      </c>
      <c r="B254" s="30" t="s">
        <v>1076</v>
      </c>
      <c r="C254" s="31" t="s">
        <v>1077</v>
      </c>
      <c r="D254" s="32">
        <v>1200</v>
      </c>
      <c r="E254" s="31" t="s">
        <v>1075</v>
      </c>
      <c r="F254" s="33">
        <v>1200</v>
      </c>
      <c r="G254" s="31" t="s">
        <v>967</v>
      </c>
      <c r="H254" t="s">
        <v>118</v>
      </c>
    </row>
    <row r="255" spans="1:8">
      <c r="A255" s="29">
        <v>1309</v>
      </c>
      <c r="B255" s="30" t="s">
        <v>1078</v>
      </c>
      <c r="C255" s="31" t="s">
        <v>451</v>
      </c>
      <c r="D255" s="32">
        <v>10</v>
      </c>
      <c r="E255" s="31" t="s">
        <v>454</v>
      </c>
      <c r="F255" s="33">
        <v>101</v>
      </c>
      <c r="G255" s="31" t="s">
        <v>722</v>
      </c>
      <c r="H255" t="s">
        <v>342</v>
      </c>
    </row>
    <row r="256" spans="1:8">
      <c r="A256" s="29">
        <v>1310</v>
      </c>
      <c r="B256" s="30" t="s">
        <v>1079</v>
      </c>
      <c r="C256" s="31" t="s">
        <v>1080</v>
      </c>
      <c r="D256" s="32">
        <v>1300</v>
      </c>
      <c r="E256" s="31" t="s">
        <v>1081</v>
      </c>
      <c r="F256" s="33">
        <v>101</v>
      </c>
      <c r="G256" s="31" t="s">
        <v>722</v>
      </c>
      <c r="H256" t="s">
        <v>342</v>
      </c>
    </row>
    <row r="257" spans="1:8">
      <c r="A257" s="29">
        <v>1313</v>
      </c>
      <c r="B257" s="30" t="s">
        <v>1082</v>
      </c>
      <c r="C257" s="31" t="s">
        <v>1083</v>
      </c>
      <c r="D257" s="32">
        <v>181</v>
      </c>
      <c r="E257" s="31" t="s">
        <v>869</v>
      </c>
      <c r="F257" s="33">
        <v>101</v>
      </c>
      <c r="G257" s="31" t="s">
        <v>722</v>
      </c>
      <c r="H257" t="s">
        <v>342</v>
      </c>
    </row>
    <row r="258" spans="1:8">
      <c r="A258" s="29">
        <v>1313</v>
      </c>
      <c r="B258" s="30" t="s">
        <v>1082</v>
      </c>
      <c r="C258" s="31" t="s">
        <v>1083</v>
      </c>
      <c r="D258" s="32">
        <v>182</v>
      </c>
      <c r="E258" s="31" t="s">
        <v>870</v>
      </c>
      <c r="F258" s="33">
        <v>101</v>
      </c>
      <c r="G258" s="31" t="s">
        <v>722</v>
      </c>
      <c r="H258" t="s">
        <v>342</v>
      </c>
    </row>
    <row r="259" spans="1:8">
      <c r="A259" s="29">
        <v>1316</v>
      </c>
      <c r="B259" s="30" t="s">
        <v>1084</v>
      </c>
      <c r="C259" s="31" t="s">
        <v>1085</v>
      </c>
      <c r="D259" s="32">
        <v>181</v>
      </c>
      <c r="E259" s="31" t="s">
        <v>869</v>
      </c>
      <c r="F259" s="33">
        <v>101</v>
      </c>
      <c r="G259" s="31" t="s">
        <v>722</v>
      </c>
      <c r="H259" t="s">
        <v>342</v>
      </c>
    </row>
    <row r="260" spans="1:8">
      <c r="A260" s="29">
        <v>1316</v>
      </c>
      <c r="B260" s="30" t="s">
        <v>1084</v>
      </c>
      <c r="C260" s="31" t="s">
        <v>1085</v>
      </c>
      <c r="D260" s="32">
        <v>182</v>
      </c>
      <c r="E260" s="31" t="s">
        <v>870</v>
      </c>
      <c r="F260" s="33">
        <v>101</v>
      </c>
      <c r="G260" s="31" t="s">
        <v>722</v>
      </c>
      <c r="H260" t="s">
        <v>342</v>
      </c>
    </row>
    <row r="261" spans="1:8">
      <c r="A261" s="29">
        <v>1320</v>
      </c>
      <c r="B261" s="30" t="s">
        <v>1086</v>
      </c>
      <c r="C261" s="31" t="s">
        <v>1087</v>
      </c>
      <c r="D261" s="32">
        <v>1300</v>
      </c>
      <c r="E261" s="31" t="s">
        <v>1081</v>
      </c>
      <c r="F261" s="33">
        <v>1300</v>
      </c>
      <c r="G261" s="31" t="s">
        <v>1088</v>
      </c>
      <c r="H261" t="s">
        <v>1545</v>
      </c>
    </row>
    <row r="262" spans="1:8">
      <c r="A262" s="29">
        <v>1331</v>
      </c>
      <c r="B262" s="30" t="s">
        <v>1089</v>
      </c>
      <c r="C262" s="31" t="s">
        <v>1090</v>
      </c>
      <c r="D262" s="32">
        <v>243</v>
      </c>
      <c r="E262" s="31" t="s">
        <v>1091</v>
      </c>
      <c r="F262" s="33">
        <v>1394</v>
      </c>
      <c r="G262" s="31" t="s">
        <v>1092</v>
      </c>
      <c r="H262" t="s">
        <v>117</v>
      </c>
    </row>
    <row r="263" spans="1:8">
      <c r="A263" s="29">
        <v>1337</v>
      </c>
      <c r="B263" s="30" t="s">
        <v>1093</v>
      </c>
      <c r="C263" s="31" t="s">
        <v>1094</v>
      </c>
      <c r="D263" s="32">
        <v>127</v>
      </c>
      <c r="E263" s="31" t="s">
        <v>767</v>
      </c>
      <c r="F263" s="33">
        <v>1824</v>
      </c>
      <c r="G263" s="31" t="s">
        <v>1095</v>
      </c>
      <c r="H263" t="s">
        <v>118</v>
      </c>
    </row>
    <row r="264" spans="1:8">
      <c r="A264" s="29">
        <v>1339</v>
      </c>
      <c r="B264" s="30" t="s">
        <v>1096</v>
      </c>
      <c r="C264" s="31" t="s">
        <v>1097</v>
      </c>
      <c r="D264" s="32">
        <v>127</v>
      </c>
      <c r="E264" s="31" t="s">
        <v>767</v>
      </c>
      <c r="F264" s="33">
        <v>1826</v>
      </c>
      <c r="G264" s="31" t="s">
        <v>1096</v>
      </c>
      <c r="H264" t="s">
        <v>118</v>
      </c>
    </row>
    <row r="265" spans="1:8">
      <c r="A265" s="29">
        <v>1343</v>
      </c>
      <c r="B265" s="30" t="s">
        <v>1098</v>
      </c>
      <c r="C265" s="31" t="s">
        <v>1099</v>
      </c>
      <c r="D265" s="32">
        <v>10</v>
      </c>
      <c r="E265" s="31" t="s">
        <v>454</v>
      </c>
      <c r="F265" s="33">
        <v>101</v>
      </c>
      <c r="G265" s="31" t="s">
        <v>722</v>
      </c>
      <c r="H265" t="s">
        <v>342</v>
      </c>
    </row>
    <row r="266" spans="1:8">
      <c r="A266" s="29">
        <v>1344</v>
      </c>
      <c r="B266" s="30" t="s">
        <v>1100</v>
      </c>
      <c r="C266" s="31" t="s">
        <v>1101</v>
      </c>
      <c r="D266" s="32">
        <v>10</v>
      </c>
      <c r="E266" s="31" t="s">
        <v>454</v>
      </c>
      <c r="F266" s="33">
        <v>101</v>
      </c>
      <c r="G266" s="31" t="s">
        <v>722</v>
      </c>
      <c r="H266" t="s">
        <v>342</v>
      </c>
    </row>
    <row r="267" spans="1:8">
      <c r="A267" s="29">
        <v>1344</v>
      </c>
      <c r="B267" s="30" t="s">
        <v>1100</v>
      </c>
      <c r="C267" s="31" t="s">
        <v>1101</v>
      </c>
      <c r="D267" s="32">
        <v>182</v>
      </c>
      <c r="E267" s="31" t="s">
        <v>870</v>
      </c>
      <c r="F267" s="33">
        <v>101</v>
      </c>
      <c r="G267" s="31" t="s">
        <v>722</v>
      </c>
      <c r="H267" t="s">
        <v>342</v>
      </c>
    </row>
    <row r="268" spans="1:8">
      <c r="A268" s="29">
        <v>1352</v>
      </c>
      <c r="B268" s="30" t="s">
        <v>1102</v>
      </c>
      <c r="C268" s="31" t="s">
        <v>1103</v>
      </c>
      <c r="D268" s="32">
        <v>10</v>
      </c>
      <c r="E268" s="31" t="s">
        <v>454</v>
      </c>
      <c r="F268" s="33">
        <v>101</v>
      </c>
      <c r="G268" s="31" t="s">
        <v>722</v>
      </c>
      <c r="H268" t="s">
        <v>342</v>
      </c>
    </row>
    <row r="269" spans="1:8">
      <c r="A269" s="29">
        <v>1353</v>
      </c>
      <c r="B269" s="30" t="s">
        <v>1104</v>
      </c>
      <c r="C269" s="31" t="s">
        <v>1105</v>
      </c>
      <c r="D269" s="32">
        <v>10</v>
      </c>
      <c r="E269" s="31" t="s">
        <v>454</v>
      </c>
      <c r="F269" s="33">
        <v>101</v>
      </c>
      <c r="G269" s="31" t="s">
        <v>722</v>
      </c>
      <c r="H269" t="s">
        <v>342</v>
      </c>
    </row>
    <row r="270" spans="1:8">
      <c r="A270" s="29">
        <v>1357</v>
      </c>
      <c r="B270" s="30" t="s">
        <v>1106</v>
      </c>
      <c r="C270" s="31" t="s">
        <v>1107</v>
      </c>
      <c r="D270" s="32">
        <v>10</v>
      </c>
      <c r="E270" s="31" t="s">
        <v>454</v>
      </c>
      <c r="F270" s="33">
        <v>101</v>
      </c>
      <c r="G270" s="31" t="s">
        <v>722</v>
      </c>
      <c r="H270" t="s">
        <v>342</v>
      </c>
    </row>
    <row r="271" spans="1:8">
      <c r="A271" s="29">
        <v>1361</v>
      </c>
      <c r="B271" s="30" t="s">
        <v>1108</v>
      </c>
      <c r="C271" s="31" t="s">
        <v>1109</v>
      </c>
      <c r="D271" s="32">
        <v>10</v>
      </c>
      <c r="E271" s="31" t="s">
        <v>454</v>
      </c>
      <c r="F271" s="33">
        <v>101</v>
      </c>
      <c r="G271" s="31" t="s">
        <v>722</v>
      </c>
      <c r="H271" t="s">
        <v>342</v>
      </c>
    </row>
    <row r="272" spans="1:8">
      <c r="A272" s="29">
        <v>1362</v>
      </c>
      <c r="B272" s="30" t="s">
        <v>1110</v>
      </c>
      <c r="C272" s="31" t="s">
        <v>1111</v>
      </c>
      <c r="D272" s="32">
        <v>10</v>
      </c>
      <c r="E272" s="31" t="s">
        <v>454</v>
      </c>
      <c r="F272" s="33">
        <v>101</v>
      </c>
      <c r="G272" s="31" t="s">
        <v>722</v>
      </c>
      <c r="H272" t="s">
        <v>342</v>
      </c>
    </row>
    <row r="273" spans="1:8">
      <c r="A273" s="29">
        <v>1364</v>
      </c>
      <c r="B273" s="30" t="s">
        <v>1112</v>
      </c>
      <c r="C273" s="31" t="s">
        <v>1113</v>
      </c>
      <c r="D273" s="32">
        <v>33</v>
      </c>
      <c r="E273" s="31" t="s">
        <v>1114</v>
      </c>
      <c r="F273" s="33">
        <v>1850</v>
      </c>
      <c r="G273" s="31" t="s">
        <v>1115</v>
      </c>
      <c r="H273" t="s">
        <v>118</v>
      </c>
    </row>
    <row r="274" spans="1:8">
      <c r="A274" s="29">
        <v>1410</v>
      </c>
      <c r="B274" s="30" t="s">
        <v>1116</v>
      </c>
      <c r="C274" s="31" t="s">
        <v>1117</v>
      </c>
      <c r="D274" s="32">
        <v>10</v>
      </c>
      <c r="E274" s="31" t="s">
        <v>454</v>
      </c>
      <c r="F274" s="33">
        <v>101</v>
      </c>
      <c r="G274" s="31" t="s">
        <v>722</v>
      </c>
      <c r="H274" t="s">
        <v>342</v>
      </c>
    </row>
    <row r="275" spans="1:8">
      <c r="A275" s="29">
        <v>1411</v>
      </c>
      <c r="B275" s="30" t="s">
        <v>1118</v>
      </c>
      <c r="C275" s="31" t="s">
        <v>1119</v>
      </c>
      <c r="D275" s="32">
        <v>40</v>
      </c>
      <c r="E275" s="31" t="s">
        <v>344</v>
      </c>
      <c r="F275" s="33">
        <v>1551</v>
      </c>
      <c r="G275" s="31" t="s">
        <v>519</v>
      </c>
      <c r="H275" t="s">
        <v>342</v>
      </c>
    </row>
    <row r="276" spans="1:8">
      <c r="A276" s="29">
        <v>1412</v>
      </c>
      <c r="B276" s="30" t="s">
        <v>1120</v>
      </c>
      <c r="C276" s="31" t="s">
        <v>456</v>
      </c>
      <c r="D276" s="32">
        <v>10</v>
      </c>
      <c r="E276" s="31" t="s">
        <v>454</v>
      </c>
      <c r="F276" s="33">
        <v>101</v>
      </c>
      <c r="G276" s="31" t="s">
        <v>722</v>
      </c>
      <c r="H276" t="s">
        <v>342</v>
      </c>
    </row>
    <row r="277" spans="1:8">
      <c r="A277" s="29">
        <v>1413</v>
      </c>
      <c r="B277" s="30" t="s">
        <v>1121</v>
      </c>
      <c r="C277" s="31" t="s">
        <v>1122</v>
      </c>
      <c r="D277" s="32">
        <v>10</v>
      </c>
      <c r="E277" s="31" t="s">
        <v>454</v>
      </c>
      <c r="F277" s="33">
        <v>101</v>
      </c>
      <c r="G277" s="31" t="s">
        <v>722</v>
      </c>
      <c r="H277" t="s">
        <v>342</v>
      </c>
    </row>
    <row r="278" spans="1:8">
      <c r="A278" s="29">
        <v>1414</v>
      </c>
      <c r="B278" s="30" t="s">
        <v>1123</v>
      </c>
      <c r="C278" s="31" t="s">
        <v>1124</v>
      </c>
      <c r="D278" s="32">
        <v>245</v>
      </c>
      <c r="E278" s="31" t="s">
        <v>1125</v>
      </c>
      <c r="F278" s="33">
        <v>1911</v>
      </c>
      <c r="G278" s="31" t="s">
        <v>1126</v>
      </c>
      <c r="H278" t="s">
        <v>118</v>
      </c>
    </row>
    <row r="279" spans="1:8">
      <c r="A279" s="29">
        <v>1420</v>
      </c>
      <c r="B279" s="30" t="s">
        <v>1127</v>
      </c>
      <c r="C279" s="31" t="s">
        <v>1128</v>
      </c>
      <c r="D279" s="32">
        <v>1400</v>
      </c>
      <c r="E279" s="31" t="s">
        <v>1129</v>
      </c>
      <c r="F279" s="33">
        <v>1400</v>
      </c>
      <c r="G279" s="31" t="s">
        <v>1130</v>
      </c>
      <c r="H279" t="s">
        <v>1545</v>
      </c>
    </row>
    <row r="280" spans="1:8">
      <c r="A280" s="29">
        <v>1425</v>
      </c>
      <c r="B280" s="30" t="s">
        <v>1131</v>
      </c>
      <c r="C280" s="31" t="s">
        <v>1132</v>
      </c>
      <c r="D280" s="32">
        <v>10</v>
      </c>
      <c r="E280" s="31" t="s">
        <v>454</v>
      </c>
      <c r="F280" s="33">
        <v>101</v>
      </c>
      <c r="G280" s="31" t="s">
        <v>722</v>
      </c>
      <c r="H280" t="s">
        <v>342</v>
      </c>
    </row>
    <row r="281" spans="1:8">
      <c r="A281" s="29">
        <v>1426</v>
      </c>
      <c r="B281" s="30" t="s">
        <v>1133</v>
      </c>
      <c r="C281" s="31" t="s">
        <v>1134</v>
      </c>
      <c r="D281" s="32">
        <v>10</v>
      </c>
      <c r="E281" s="31" t="s">
        <v>454</v>
      </c>
      <c r="F281" s="33">
        <v>101</v>
      </c>
      <c r="G281" s="31" t="s">
        <v>722</v>
      </c>
      <c r="H281" t="s">
        <v>342</v>
      </c>
    </row>
    <row r="282" spans="1:8">
      <c r="A282" s="29">
        <v>1426</v>
      </c>
      <c r="B282" s="30" t="s">
        <v>1133</v>
      </c>
      <c r="C282" s="31" t="s">
        <v>1134</v>
      </c>
      <c r="D282" s="32">
        <v>181</v>
      </c>
      <c r="E282" s="31" t="s">
        <v>869</v>
      </c>
      <c r="F282" s="33">
        <v>101</v>
      </c>
      <c r="G282" s="31" t="s">
        <v>722</v>
      </c>
      <c r="H282" t="s">
        <v>342</v>
      </c>
    </row>
    <row r="283" spans="1:8">
      <c r="A283" s="29">
        <v>1426</v>
      </c>
      <c r="B283" s="30" t="s">
        <v>1133</v>
      </c>
      <c r="C283" s="31" t="s">
        <v>1134</v>
      </c>
      <c r="D283" s="32">
        <v>182</v>
      </c>
      <c r="E283" s="31" t="s">
        <v>870</v>
      </c>
      <c r="F283" s="33">
        <v>101</v>
      </c>
      <c r="G283" s="31" t="s">
        <v>722</v>
      </c>
      <c r="H283" t="s">
        <v>342</v>
      </c>
    </row>
    <row r="284" spans="1:8">
      <c r="A284" s="29">
        <v>1501</v>
      </c>
      <c r="B284" s="30" t="s">
        <v>1135</v>
      </c>
      <c r="C284" s="31" t="s">
        <v>1136</v>
      </c>
      <c r="D284" s="32">
        <v>10</v>
      </c>
      <c r="E284" s="31" t="s">
        <v>454</v>
      </c>
      <c r="F284" s="33">
        <v>101</v>
      </c>
      <c r="G284" s="31" t="s">
        <v>722</v>
      </c>
      <c r="H284" t="s">
        <v>342</v>
      </c>
    </row>
    <row r="285" spans="1:8">
      <c r="A285" s="29">
        <v>1507</v>
      </c>
      <c r="B285" s="30" t="s">
        <v>1137</v>
      </c>
      <c r="C285" s="31" t="s">
        <v>1138</v>
      </c>
      <c r="D285" s="32">
        <v>10</v>
      </c>
      <c r="E285" s="31" t="s">
        <v>454</v>
      </c>
      <c r="F285" s="33">
        <v>101</v>
      </c>
      <c r="G285" s="31" t="s">
        <v>722</v>
      </c>
      <c r="H285" t="s">
        <v>342</v>
      </c>
    </row>
    <row r="286" spans="1:8">
      <c r="A286" s="29">
        <v>1510</v>
      </c>
      <c r="B286" s="30" t="s">
        <v>1139</v>
      </c>
      <c r="C286" s="31" t="s">
        <v>1140</v>
      </c>
      <c r="D286" s="32">
        <v>1500</v>
      </c>
      <c r="E286" s="31" t="s">
        <v>1141</v>
      </c>
      <c r="F286" s="33">
        <v>1500</v>
      </c>
      <c r="G286" s="31" t="s">
        <v>1142</v>
      </c>
      <c r="H286" t="s">
        <v>342</v>
      </c>
    </row>
    <row r="287" spans="1:8">
      <c r="A287" s="29">
        <v>1511</v>
      </c>
      <c r="B287" s="30" t="s">
        <v>1143</v>
      </c>
      <c r="C287" s="31" t="s">
        <v>1144</v>
      </c>
      <c r="D287" s="32">
        <v>10</v>
      </c>
      <c r="E287" s="31" t="s">
        <v>454</v>
      </c>
      <c r="F287" s="33">
        <v>101</v>
      </c>
      <c r="G287" s="31" t="s">
        <v>722</v>
      </c>
      <c r="H287" t="s">
        <v>342</v>
      </c>
    </row>
    <row r="288" spans="1:8">
      <c r="A288" s="29">
        <v>1520</v>
      </c>
      <c r="B288" s="30" t="s">
        <v>1145</v>
      </c>
      <c r="C288" s="31" t="s">
        <v>1146</v>
      </c>
      <c r="D288" s="32">
        <v>1500</v>
      </c>
      <c r="E288" s="31" t="s">
        <v>1141</v>
      </c>
      <c r="F288" s="33">
        <v>1500</v>
      </c>
      <c r="G288" s="31" t="s">
        <v>1142</v>
      </c>
      <c r="H288" t="s">
        <v>342</v>
      </c>
    </row>
    <row r="289" spans="1:8">
      <c r="A289" s="29">
        <v>1535</v>
      </c>
      <c r="B289" s="30" t="s">
        <v>1147</v>
      </c>
      <c r="C289" s="31" t="s">
        <v>1148</v>
      </c>
      <c r="D289" s="32">
        <v>10</v>
      </c>
      <c r="E289" s="31" t="s">
        <v>454</v>
      </c>
      <c r="F289" s="33">
        <v>101</v>
      </c>
      <c r="G289" s="31" t="s">
        <v>722</v>
      </c>
      <c r="H289" t="s">
        <v>342</v>
      </c>
    </row>
    <row r="290" spans="1:8">
      <c r="A290" s="29">
        <v>1537</v>
      </c>
      <c r="B290" s="30" t="s">
        <v>1149</v>
      </c>
      <c r="C290" s="31" t="s">
        <v>1150</v>
      </c>
      <c r="D290" s="32">
        <v>10</v>
      </c>
      <c r="E290" s="31" t="s">
        <v>454</v>
      </c>
      <c r="F290" s="33">
        <v>101</v>
      </c>
      <c r="G290" s="31" t="s">
        <v>722</v>
      </c>
      <c r="H290" t="s">
        <v>342</v>
      </c>
    </row>
    <row r="291" spans="1:8">
      <c r="A291" s="29">
        <v>1545</v>
      </c>
      <c r="B291" s="30" t="s">
        <v>1151</v>
      </c>
      <c r="C291" s="31" t="s">
        <v>1152</v>
      </c>
      <c r="D291" s="32">
        <v>10</v>
      </c>
      <c r="E291" s="31" t="s">
        <v>454</v>
      </c>
      <c r="F291" s="33">
        <v>101</v>
      </c>
      <c r="G291" s="31" t="s">
        <v>722</v>
      </c>
      <c r="H291" t="s">
        <v>342</v>
      </c>
    </row>
    <row r="292" spans="1:8">
      <c r="A292" s="29">
        <v>1581</v>
      </c>
      <c r="B292" s="30" t="s">
        <v>1153</v>
      </c>
      <c r="C292" s="31" t="s">
        <v>1154</v>
      </c>
      <c r="D292" s="32">
        <v>10</v>
      </c>
      <c r="E292" s="31" t="s">
        <v>454</v>
      </c>
      <c r="F292" s="33">
        <v>101</v>
      </c>
      <c r="G292" s="31" t="s">
        <v>722</v>
      </c>
      <c r="H292" t="s">
        <v>342</v>
      </c>
    </row>
    <row r="293" spans="1:8">
      <c r="A293" s="29">
        <v>1583</v>
      </c>
      <c r="B293" s="30" t="s">
        <v>1155</v>
      </c>
      <c r="C293" s="31" t="s">
        <v>1156</v>
      </c>
      <c r="D293" s="32">
        <v>10</v>
      </c>
      <c r="E293" s="31" t="s">
        <v>454</v>
      </c>
      <c r="F293" s="33">
        <v>101</v>
      </c>
      <c r="G293" s="31" t="s">
        <v>722</v>
      </c>
      <c r="H293" t="s">
        <v>342</v>
      </c>
    </row>
    <row r="294" spans="1:8">
      <c r="A294" s="29">
        <v>1585</v>
      </c>
      <c r="B294" s="30" t="s">
        <v>1157</v>
      </c>
      <c r="C294" s="31" t="s">
        <v>1158</v>
      </c>
      <c r="D294" s="32">
        <v>10</v>
      </c>
      <c r="E294" s="31" t="s">
        <v>454</v>
      </c>
      <c r="F294" s="33">
        <v>101</v>
      </c>
      <c r="G294" s="31" t="s">
        <v>722</v>
      </c>
      <c r="H294" t="s">
        <v>342</v>
      </c>
    </row>
    <row r="295" spans="1:8">
      <c r="A295" s="29">
        <v>1610</v>
      </c>
      <c r="B295" s="30" t="s">
        <v>1159</v>
      </c>
      <c r="C295" s="31" t="s">
        <v>1160</v>
      </c>
      <c r="D295" s="32">
        <v>1600</v>
      </c>
      <c r="E295" s="31" t="s">
        <v>1161</v>
      </c>
      <c r="F295" s="33">
        <v>1600</v>
      </c>
      <c r="G295" s="31" t="s">
        <v>1162</v>
      </c>
      <c r="H295" t="s">
        <v>1545</v>
      </c>
    </row>
    <row r="296" spans="1:8">
      <c r="A296" s="29">
        <v>1620</v>
      </c>
      <c r="B296" s="30" t="s">
        <v>1163</v>
      </c>
      <c r="C296" s="31" t="s">
        <v>1164</v>
      </c>
      <c r="D296" s="32">
        <v>1600</v>
      </c>
      <c r="E296" s="31" t="s">
        <v>1161</v>
      </c>
      <c r="F296" s="33">
        <v>1600</v>
      </c>
      <c r="G296" s="31" t="s">
        <v>1162</v>
      </c>
      <c r="H296" t="s">
        <v>1545</v>
      </c>
    </row>
    <row r="297" spans="1:8">
      <c r="A297" s="29">
        <v>1910</v>
      </c>
      <c r="B297" s="30" t="s">
        <v>1165</v>
      </c>
      <c r="C297" s="31" t="s">
        <v>1166</v>
      </c>
      <c r="D297" s="32">
        <v>1900</v>
      </c>
      <c r="E297" s="31" t="s">
        <v>1167</v>
      </c>
      <c r="F297" s="33">
        <v>1900</v>
      </c>
      <c r="G297" s="31" t="s">
        <v>1168</v>
      </c>
      <c r="H297" t="s">
        <v>1545</v>
      </c>
    </row>
    <row r="298" spans="1:8">
      <c r="A298" s="29">
        <v>1920</v>
      </c>
      <c r="B298" s="30" t="s">
        <v>1169</v>
      </c>
      <c r="C298" s="31" t="s">
        <v>1170</v>
      </c>
      <c r="D298" s="32">
        <v>1900</v>
      </c>
      <c r="E298" s="31" t="s">
        <v>1167</v>
      </c>
      <c r="F298" s="33">
        <v>1900</v>
      </c>
      <c r="G298" s="31" t="s">
        <v>1168</v>
      </c>
      <c r="H298" t="s">
        <v>1545</v>
      </c>
    </row>
    <row r="299" spans="1:8">
      <c r="A299" s="29">
        <v>2009</v>
      </c>
      <c r="B299" s="30" t="s">
        <v>1171</v>
      </c>
      <c r="C299" s="31" t="s">
        <v>1172</v>
      </c>
      <c r="D299" s="32">
        <v>250</v>
      </c>
      <c r="E299" s="31" t="s">
        <v>1173</v>
      </c>
      <c r="F299" s="33">
        <v>1404</v>
      </c>
      <c r="G299" s="31" t="s">
        <v>1173</v>
      </c>
      <c r="H299" t="s">
        <v>117</v>
      </c>
    </row>
    <row r="300" spans="1:8">
      <c r="A300" s="29">
        <v>2011</v>
      </c>
      <c r="B300" s="30" t="s">
        <v>1175</v>
      </c>
      <c r="C300" s="31" t="s">
        <v>1176</v>
      </c>
      <c r="D300" s="32">
        <v>250</v>
      </c>
      <c r="E300" s="31" t="s">
        <v>1173</v>
      </c>
      <c r="F300" s="33">
        <v>1404</v>
      </c>
      <c r="G300" s="31" t="s">
        <v>1173</v>
      </c>
      <c r="H300" t="s">
        <v>117</v>
      </c>
    </row>
    <row r="301" spans="1:8">
      <c r="A301" s="29">
        <v>2012</v>
      </c>
      <c r="B301" s="30" t="s">
        <v>1177</v>
      </c>
      <c r="C301" s="31" t="s">
        <v>1178</v>
      </c>
      <c r="D301" s="32">
        <v>251</v>
      </c>
      <c r="E301" s="31" t="s">
        <v>1174</v>
      </c>
      <c r="F301" s="33">
        <v>1407</v>
      </c>
      <c r="G301" s="31" t="s">
        <v>1179</v>
      </c>
      <c r="H301" t="s">
        <v>117</v>
      </c>
    </row>
    <row r="302" spans="1:8">
      <c r="A302" s="29">
        <v>2023</v>
      </c>
      <c r="B302" s="30" t="s">
        <v>755</v>
      </c>
      <c r="C302" s="31" t="s">
        <v>1180</v>
      </c>
      <c r="D302" s="32">
        <v>114</v>
      </c>
      <c r="E302" s="31" t="s">
        <v>757</v>
      </c>
      <c r="F302" s="33">
        <v>1158</v>
      </c>
      <c r="G302" s="31" t="s">
        <v>758</v>
      </c>
      <c r="H302" t="s">
        <v>117</v>
      </c>
    </row>
    <row r="303" spans="1:8">
      <c r="A303" s="29">
        <v>2026</v>
      </c>
      <c r="B303" s="30" t="s">
        <v>755</v>
      </c>
      <c r="C303" s="31" t="s">
        <v>1181</v>
      </c>
      <c r="D303" s="32">
        <v>114</v>
      </c>
      <c r="E303" s="31" t="s">
        <v>757</v>
      </c>
      <c r="F303" s="33">
        <v>1158</v>
      </c>
      <c r="G303" s="31" t="s">
        <v>758</v>
      </c>
      <c r="H303" t="s">
        <v>117</v>
      </c>
    </row>
    <row r="304" spans="1:8">
      <c r="A304" s="29">
        <v>2032</v>
      </c>
      <c r="B304" s="30" t="s">
        <v>1182</v>
      </c>
      <c r="C304" s="31" t="s">
        <v>1183</v>
      </c>
      <c r="D304" s="32">
        <v>10</v>
      </c>
      <c r="E304" s="31" t="s">
        <v>454</v>
      </c>
      <c r="F304" s="33">
        <v>101</v>
      </c>
      <c r="G304" s="31" t="s">
        <v>722</v>
      </c>
      <c r="H304" t="s">
        <v>342</v>
      </c>
    </row>
    <row r="305" spans="1:8">
      <c r="A305" s="29">
        <v>2034</v>
      </c>
      <c r="B305" s="30" t="s">
        <v>1184</v>
      </c>
      <c r="C305" s="31" t="s">
        <v>1185</v>
      </c>
      <c r="D305" s="32">
        <v>10</v>
      </c>
      <c r="E305" s="31" t="s">
        <v>454</v>
      </c>
      <c r="F305" s="33">
        <v>101</v>
      </c>
      <c r="G305" s="31" t="s">
        <v>722</v>
      </c>
      <c r="H305" t="s">
        <v>342</v>
      </c>
    </row>
    <row r="306" spans="1:8">
      <c r="A306" s="29">
        <v>2036</v>
      </c>
      <c r="B306" s="30" t="s">
        <v>1186</v>
      </c>
      <c r="C306" s="31" t="s">
        <v>1187</v>
      </c>
      <c r="D306" s="32">
        <v>253</v>
      </c>
      <c r="E306" s="31" t="s">
        <v>1188</v>
      </c>
      <c r="F306" s="33">
        <v>1423</v>
      </c>
      <c r="G306" s="31" t="s">
        <v>1186</v>
      </c>
      <c r="H306" t="s">
        <v>117</v>
      </c>
    </row>
    <row r="307" spans="1:8">
      <c r="A307" s="29">
        <v>2040</v>
      </c>
      <c r="B307" s="30" t="s">
        <v>1189</v>
      </c>
      <c r="C307" s="31" t="s">
        <v>1190</v>
      </c>
      <c r="D307" s="32">
        <v>195</v>
      </c>
      <c r="E307" s="31" t="s">
        <v>982</v>
      </c>
      <c r="F307" s="33">
        <v>1760</v>
      </c>
      <c r="G307" s="31" t="s">
        <v>591</v>
      </c>
      <c r="H307" t="s">
        <v>118</v>
      </c>
    </row>
    <row r="308" spans="1:8">
      <c r="A308" s="29">
        <v>2045</v>
      </c>
      <c r="B308" s="30" t="s">
        <v>1191</v>
      </c>
      <c r="C308" s="31" t="s">
        <v>1192</v>
      </c>
      <c r="D308" s="32">
        <v>10</v>
      </c>
      <c r="E308" s="31" t="s">
        <v>454</v>
      </c>
      <c r="F308" s="33">
        <v>101</v>
      </c>
      <c r="G308" s="31" t="s">
        <v>722</v>
      </c>
      <c r="H308" t="s">
        <v>342</v>
      </c>
    </row>
    <row r="309" spans="1:8">
      <c r="A309" s="29">
        <v>2047</v>
      </c>
      <c r="B309" s="30" t="s">
        <v>1193</v>
      </c>
      <c r="C309" s="31" t="s">
        <v>1194</v>
      </c>
      <c r="D309" s="32">
        <v>10</v>
      </c>
      <c r="E309" s="31" t="s">
        <v>454</v>
      </c>
      <c r="F309" s="33">
        <v>101</v>
      </c>
      <c r="G309" s="31" t="s">
        <v>722</v>
      </c>
      <c r="H309" t="s">
        <v>342</v>
      </c>
    </row>
    <row r="310" spans="1:8">
      <c r="A310" s="29">
        <v>2075</v>
      </c>
      <c r="B310" s="30" t="s">
        <v>1195</v>
      </c>
      <c r="C310" s="31" t="s">
        <v>1196</v>
      </c>
      <c r="D310" s="32">
        <v>102</v>
      </c>
      <c r="E310" s="31" t="s">
        <v>687</v>
      </c>
      <c r="F310" s="33">
        <v>1758</v>
      </c>
      <c r="G310" s="31" t="s">
        <v>464</v>
      </c>
      <c r="H310" t="s">
        <v>118</v>
      </c>
    </row>
    <row r="311" spans="1:8">
      <c r="A311" s="29">
        <v>2075</v>
      </c>
      <c r="B311" s="30" t="s">
        <v>1195</v>
      </c>
      <c r="C311" s="31" t="s">
        <v>1196</v>
      </c>
      <c r="D311" s="32">
        <v>273</v>
      </c>
      <c r="E311" s="31" t="s">
        <v>1197</v>
      </c>
      <c r="F311" s="33">
        <v>1758</v>
      </c>
      <c r="G311" s="31" t="s">
        <v>464</v>
      </c>
      <c r="H311" t="s">
        <v>118</v>
      </c>
    </row>
    <row r="312" spans="1:8">
      <c r="A312" s="29">
        <v>2099</v>
      </c>
      <c r="B312" s="30" t="s">
        <v>1198</v>
      </c>
      <c r="C312" s="31" t="s">
        <v>1199</v>
      </c>
      <c r="D312" s="32">
        <v>181</v>
      </c>
      <c r="E312" s="31" t="s">
        <v>869</v>
      </c>
      <c r="F312" s="33">
        <v>101</v>
      </c>
      <c r="G312" s="31" t="s">
        <v>722</v>
      </c>
      <c r="H312" t="s">
        <v>342</v>
      </c>
    </row>
    <row r="313" spans="1:8">
      <c r="A313" s="29">
        <v>2099</v>
      </c>
      <c r="B313" s="30" t="s">
        <v>1198</v>
      </c>
      <c r="C313" s="31" t="s">
        <v>1199</v>
      </c>
      <c r="D313" s="32">
        <v>182</v>
      </c>
      <c r="E313" s="31" t="s">
        <v>870</v>
      </c>
      <c r="F313" s="33">
        <v>101</v>
      </c>
      <c r="G313" s="31" t="s">
        <v>722</v>
      </c>
      <c r="H313" t="s">
        <v>342</v>
      </c>
    </row>
    <row r="314" spans="1:8">
      <c r="A314" s="29">
        <v>2110</v>
      </c>
      <c r="B314" s="30" t="s">
        <v>1200</v>
      </c>
      <c r="C314" s="31" t="s">
        <v>1201</v>
      </c>
      <c r="D314" s="32">
        <v>2100</v>
      </c>
      <c r="E314" s="31" t="s">
        <v>1202</v>
      </c>
      <c r="F314" s="33">
        <v>2100</v>
      </c>
      <c r="G314" s="31" t="s">
        <v>1203</v>
      </c>
      <c r="H314" t="s">
        <v>1545</v>
      </c>
    </row>
    <row r="315" spans="1:8">
      <c r="A315" s="29">
        <v>2120</v>
      </c>
      <c r="B315" s="30" t="s">
        <v>1204</v>
      </c>
      <c r="C315" s="31" t="s">
        <v>1205</v>
      </c>
      <c r="D315" s="32">
        <v>2100</v>
      </c>
      <c r="E315" s="31" t="s">
        <v>1202</v>
      </c>
      <c r="F315" s="33">
        <v>2100</v>
      </c>
      <c r="G315" s="31" t="s">
        <v>1203</v>
      </c>
      <c r="H315" t="s">
        <v>1545</v>
      </c>
    </row>
    <row r="316" spans="1:8">
      <c r="A316" s="29">
        <v>2210</v>
      </c>
      <c r="B316" s="30" t="s">
        <v>1206</v>
      </c>
      <c r="C316" s="31" t="s">
        <v>1207</v>
      </c>
      <c r="D316" s="32">
        <v>2200</v>
      </c>
      <c r="E316" s="31" t="s">
        <v>1208</v>
      </c>
      <c r="F316" s="33">
        <v>2200</v>
      </c>
      <c r="G316" s="31" t="s">
        <v>1209</v>
      </c>
      <c r="H316" t="s">
        <v>1545</v>
      </c>
    </row>
    <row r="317" spans="1:8">
      <c r="A317" s="29">
        <v>2220</v>
      </c>
      <c r="B317" s="30" t="s">
        <v>1210</v>
      </c>
      <c r="C317" s="31" t="s">
        <v>1211</v>
      </c>
      <c r="D317" s="32">
        <v>2200</v>
      </c>
      <c r="E317" s="31" t="s">
        <v>1208</v>
      </c>
      <c r="F317" s="33">
        <v>2200</v>
      </c>
      <c r="G317" s="31" t="s">
        <v>1209</v>
      </c>
      <c r="H317" t="s">
        <v>1545</v>
      </c>
    </row>
    <row r="318" spans="1:8">
      <c r="A318" s="29">
        <v>2310</v>
      </c>
      <c r="B318" s="30" t="s">
        <v>1212</v>
      </c>
      <c r="C318" s="31" t="s">
        <v>1213</v>
      </c>
      <c r="D318" s="32">
        <v>2300</v>
      </c>
      <c r="E318" s="31" t="s">
        <v>1214</v>
      </c>
      <c r="F318" s="33">
        <v>2300</v>
      </c>
      <c r="G318" s="31" t="s">
        <v>1215</v>
      </c>
      <c r="H318" t="s">
        <v>1545</v>
      </c>
    </row>
    <row r="319" spans="1:8">
      <c r="A319" s="29">
        <v>2320</v>
      </c>
      <c r="B319" s="30" t="s">
        <v>1216</v>
      </c>
      <c r="C319" s="31" t="s">
        <v>1217</v>
      </c>
      <c r="D319" s="32">
        <v>2300</v>
      </c>
      <c r="E319" s="31" t="s">
        <v>1214</v>
      </c>
      <c r="F319" s="33">
        <v>2300</v>
      </c>
      <c r="G319" s="31" t="s">
        <v>1215</v>
      </c>
      <c r="H319" t="s">
        <v>1545</v>
      </c>
    </row>
    <row r="320" spans="1:8">
      <c r="A320" s="29">
        <v>2610</v>
      </c>
      <c r="B320" s="30" t="s">
        <v>1218</v>
      </c>
      <c r="C320" s="31" t="s">
        <v>1219</v>
      </c>
      <c r="D320" s="32">
        <v>2600</v>
      </c>
      <c r="E320" s="31" t="s">
        <v>1220</v>
      </c>
      <c r="F320" s="33">
        <v>2600</v>
      </c>
      <c r="G320" s="31" t="s">
        <v>1221</v>
      </c>
      <c r="H320" t="s">
        <v>1545</v>
      </c>
    </row>
    <row r="321" spans="1:8">
      <c r="A321" s="29">
        <v>2620</v>
      </c>
      <c r="B321" s="30" t="s">
        <v>1222</v>
      </c>
      <c r="C321" s="31" t="s">
        <v>1223</v>
      </c>
      <c r="D321" s="32">
        <v>2600</v>
      </c>
      <c r="E321" s="31" t="s">
        <v>1220</v>
      </c>
      <c r="F321" s="33">
        <v>2600</v>
      </c>
      <c r="G321" s="31" t="s">
        <v>1221</v>
      </c>
      <c r="H321" t="s">
        <v>1545</v>
      </c>
    </row>
    <row r="322" spans="1:8">
      <c r="A322" s="29">
        <v>2710</v>
      </c>
      <c r="B322" s="30" t="s">
        <v>1224</v>
      </c>
      <c r="C322" s="31" t="s">
        <v>1225</v>
      </c>
      <c r="D322" s="32">
        <v>2700</v>
      </c>
      <c r="E322" s="31" t="s">
        <v>1226</v>
      </c>
      <c r="F322" s="33">
        <v>2700</v>
      </c>
      <c r="G322" s="31" t="s">
        <v>1227</v>
      </c>
      <c r="H322" t="s">
        <v>1545</v>
      </c>
    </row>
    <row r="323" spans="1:8">
      <c r="A323" s="29">
        <v>2714</v>
      </c>
      <c r="B323" s="30" t="s">
        <v>1228</v>
      </c>
      <c r="C323" s="31" t="s">
        <v>1229</v>
      </c>
      <c r="D323" s="32">
        <v>10</v>
      </c>
      <c r="E323" s="31" t="s">
        <v>454</v>
      </c>
      <c r="F323" s="33">
        <v>101</v>
      </c>
      <c r="G323" s="31" t="s">
        <v>722</v>
      </c>
      <c r="H323" t="s">
        <v>342</v>
      </c>
    </row>
    <row r="324" spans="1:8">
      <c r="A324" s="29">
        <v>2720</v>
      </c>
      <c r="B324" s="30" t="s">
        <v>1230</v>
      </c>
      <c r="C324" s="31" t="s">
        <v>1231</v>
      </c>
      <c r="D324" s="32">
        <v>2700</v>
      </c>
      <c r="E324" s="31" t="s">
        <v>1226</v>
      </c>
      <c r="F324" s="33">
        <v>2700</v>
      </c>
      <c r="G324" s="31" t="s">
        <v>1227</v>
      </c>
      <c r="H324" t="s">
        <v>1545</v>
      </c>
    </row>
    <row r="325" spans="1:8">
      <c r="A325" s="29">
        <v>2810</v>
      </c>
      <c r="B325" s="30" t="s">
        <v>1232</v>
      </c>
      <c r="C325" s="31" t="s">
        <v>1233</v>
      </c>
      <c r="D325" s="32">
        <v>2800</v>
      </c>
      <c r="E325" s="31" t="s">
        <v>1234</v>
      </c>
      <c r="F325" s="33">
        <v>2800</v>
      </c>
      <c r="G325" s="31" t="s">
        <v>1235</v>
      </c>
      <c r="H325" t="s">
        <v>1545</v>
      </c>
    </row>
    <row r="326" spans="1:8">
      <c r="A326" s="29">
        <v>2820</v>
      </c>
      <c r="B326" s="30" t="s">
        <v>1236</v>
      </c>
      <c r="C326" s="31" t="s">
        <v>1237</v>
      </c>
      <c r="D326" s="32">
        <v>2800</v>
      </c>
      <c r="E326" s="31" t="s">
        <v>1234</v>
      </c>
      <c r="F326" s="33">
        <v>2800</v>
      </c>
      <c r="G326" s="31" t="s">
        <v>1235</v>
      </c>
      <c r="H326" t="s">
        <v>1545</v>
      </c>
    </row>
    <row r="327" spans="1:8">
      <c r="A327" s="29">
        <v>3000</v>
      </c>
      <c r="B327" s="30" t="s">
        <v>1238</v>
      </c>
      <c r="C327" s="31" t="s">
        <v>1035</v>
      </c>
      <c r="D327" s="32">
        <v>252</v>
      </c>
      <c r="E327" s="31" t="s">
        <v>1239</v>
      </c>
      <c r="F327" s="33">
        <v>1666</v>
      </c>
      <c r="G327" s="31" t="s">
        <v>478</v>
      </c>
      <c r="H327" t="s">
        <v>118</v>
      </c>
    </row>
    <row r="328" spans="1:8">
      <c r="A328" s="29">
        <v>3210</v>
      </c>
      <c r="B328" s="30" t="s">
        <v>1240</v>
      </c>
      <c r="C328" s="31" t="s">
        <v>1241</v>
      </c>
      <c r="D328" s="32">
        <v>3200</v>
      </c>
      <c r="E328" s="31" t="s">
        <v>1242</v>
      </c>
      <c r="F328" s="33">
        <v>3200</v>
      </c>
      <c r="G328" s="31" t="s">
        <v>1243</v>
      </c>
      <c r="H328" t="s">
        <v>1545</v>
      </c>
    </row>
    <row r="329" spans="1:8">
      <c r="A329" s="29">
        <v>3220</v>
      </c>
      <c r="B329" s="30" t="s">
        <v>1244</v>
      </c>
      <c r="C329" s="31" t="s">
        <v>1245</v>
      </c>
      <c r="D329" s="32">
        <v>3200</v>
      </c>
      <c r="E329" s="31" t="s">
        <v>1242</v>
      </c>
      <c r="F329" s="33">
        <v>3200</v>
      </c>
      <c r="G329" s="31" t="s">
        <v>1243</v>
      </c>
      <c r="H329" t="s">
        <v>1545</v>
      </c>
    </row>
    <row r="330" spans="1:8">
      <c r="A330" s="29">
        <v>3310</v>
      </c>
      <c r="B330" s="34" t="s">
        <v>1246</v>
      </c>
      <c r="C330" s="31" t="s">
        <v>1247</v>
      </c>
      <c r="D330" s="32">
        <v>3300</v>
      </c>
      <c r="E330" s="35" t="s">
        <v>1248</v>
      </c>
      <c r="F330" s="33">
        <v>3300</v>
      </c>
      <c r="G330" s="31" t="s">
        <v>1249</v>
      </c>
      <c r="H330" t="s">
        <v>1545</v>
      </c>
    </row>
    <row r="331" spans="1:8">
      <c r="A331" s="29">
        <v>3320</v>
      </c>
      <c r="B331" s="34" t="s">
        <v>1250</v>
      </c>
      <c r="C331" s="31" t="s">
        <v>1251</v>
      </c>
      <c r="D331" s="32">
        <v>3300</v>
      </c>
      <c r="E331" s="35" t="s">
        <v>1248</v>
      </c>
      <c r="F331" s="33">
        <v>3300</v>
      </c>
      <c r="G331" s="31" t="s">
        <v>1249</v>
      </c>
      <c r="H331" t="s">
        <v>1545</v>
      </c>
    </row>
    <row r="332" spans="1:8">
      <c r="A332" s="29">
        <v>3410</v>
      </c>
      <c r="B332" s="30" t="s">
        <v>1252</v>
      </c>
      <c r="C332" s="31" t="s">
        <v>1253</v>
      </c>
      <c r="D332" s="32">
        <v>3400</v>
      </c>
      <c r="E332" s="31" t="s">
        <v>1254</v>
      </c>
      <c r="F332" s="33">
        <v>3400</v>
      </c>
      <c r="G332" s="31" t="s">
        <v>1255</v>
      </c>
      <c r="H332" t="s">
        <v>1545</v>
      </c>
    </row>
    <row r="333" spans="1:8">
      <c r="A333" s="29">
        <v>3420</v>
      </c>
      <c r="B333" s="30" t="s">
        <v>1256</v>
      </c>
      <c r="C333" s="31" t="s">
        <v>1257</v>
      </c>
      <c r="D333" s="32">
        <v>3400</v>
      </c>
      <c r="E333" s="31" t="s">
        <v>1254</v>
      </c>
      <c r="F333" s="33">
        <v>3400</v>
      </c>
      <c r="G333" s="31" t="s">
        <v>1255</v>
      </c>
      <c r="H333" t="s">
        <v>1545</v>
      </c>
    </row>
    <row r="334" spans="1:8">
      <c r="A334" s="29">
        <v>3710</v>
      </c>
      <c r="B334" s="30" t="s">
        <v>1258</v>
      </c>
      <c r="C334" s="31" t="s">
        <v>1259</v>
      </c>
      <c r="D334" s="32">
        <v>3700</v>
      </c>
      <c r="E334" s="31" t="s">
        <v>1260</v>
      </c>
      <c r="F334" s="33">
        <v>3700</v>
      </c>
      <c r="G334" s="31" t="s">
        <v>1261</v>
      </c>
      <c r="H334" t="s">
        <v>1545</v>
      </c>
    </row>
    <row r="335" spans="1:8">
      <c r="A335" s="29">
        <v>3720</v>
      </c>
      <c r="B335" s="30" t="s">
        <v>1262</v>
      </c>
      <c r="C335" s="31" t="s">
        <v>1263</v>
      </c>
      <c r="D335" s="32">
        <v>3700</v>
      </c>
      <c r="E335" s="31" t="s">
        <v>1260</v>
      </c>
      <c r="F335" s="33">
        <v>3700</v>
      </c>
      <c r="G335" s="31" t="s">
        <v>1261</v>
      </c>
      <c r="H335" t="s">
        <v>1545</v>
      </c>
    </row>
    <row r="336" spans="1:8">
      <c r="A336" s="29">
        <v>3810</v>
      </c>
      <c r="B336" s="30" t="s">
        <v>1264</v>
      </c>
      <c r="C336" s="31" t="s">
        <v>1265</v>
      </c>
      <c r="D336" s="32">
        <v>3800</v>
      </c>
      <c r="E336" s="31" t="s">
        <v>1266</v>
      </c>
      <c r="F336" s="33">
        <v>3800</v>
      </c>
      <c r="G336" s="31" t="s">
        <v>1267</v>
      </c>
      <c r="H336" t="s">
        <v>1545</v>
      </c>
    </row>
    <row r="337" spans="1:8">
      <c r="A337" s="29">
        <v>3820</v>
      </c>
      <c r="B337" s="30" t="s">
        <v>1268</v>
      </c>
      <c r="C337" s="31" t="s">
        <v>1269</v>
      </c>
      <c r="D337" s="32">
        <v>3800</v>
      </c>
      <c r="E337" s="31" t="s">
        <v>1266</v>
      </c>
      <c r="F337" s="33">
        <v>3800</v>
      </c>
      <c r="G337" s="31" t="s">
        <v>1267</v>
      </c>
      <c r="H337" t="s">
        <v>1545</v>
      </c>
    </row>
    <row r="338" spans="1:8">
      <c r="A338" s="29">
        <v>3910</v>
      </c>
      <c r="B338" s="30" t="s">
        <v>1270</v>
      </c>
      <c r="C338" s="31" t="s">
        <v>1271</v>
      </c>
      <c r="D338" s="32">
        <v>3900</v>
      </c>
      <c r="E338" s="31" t="s">
        <v>1272</v>
      </c>
      <c r="F338" s="33">
        <v>3900</v>
      </c>
      <c r="G338" s="31" t="s">
        <v>1273</v>
      </c>
      <c r="H338" t="s">
        <v>1545</v>
      </c>
    </row>
    <row r="339" spans="1:8">
      <c r="A339" s="29">
        <v>3920</v>
      </c>
      <c r="B339" s="30" t="s">
        <v>1274</v>
      </c>
      <c r="C339" s="31" t="s">
        <v>1275</v>
      </c>
      <c r="D339" s="32">
        <v>3900</v>
      </c>
      <c r="E339" s="31" t="s">
        <v>1272</v>
      </c>
      <c r="F339" s="33">
        <v>3900</v>
      </c>
      <c r="G339" s="31" t="s">
        <v>1273</v>
      </c>
      <c r="H339" t="s">
        <v>1545</v>
      </c>
    </row>
    <row r="340" spans="1:8">
      <c r="A340" s="29">
        <v>4010</v>
      </c>
      <c r="B340" s="30" t="s">
        <v>1276</v>
      </c>
      <c r="C340" s="31" t="s">
        <v>1277</v>
      </c>
      <c r="D340" s="32">
        <v>4000</v>
      </c>
      <c r="E340" s="31" t="s">
        <v>1278</v>
      </c>
      <c r="F340" s="33">
        <v>4000</v>
      </c>
      <c r="G340" s="31" t="s">
        <v>1279</v>
      </c>
      <c r="H340" t="s">
        <v>1545</v>
      </c>
    </row>
    <row r="341" spans="1:8">
      <c r="A341" s="29">
        <v>4020</v>
      </c>
      <c r="B341" s="30" t="s">
        <v>1280</v>
      </c>
      <c r="C341" s="31" t="s">
        <v>1281</v>
      </c>
      <c r="D341" s="32">
        <v>4000</v>
      </c>
      <c r="E341" s="31" t="s">
        <v>1278</v>
      </c>
      <c r="F341" s="33">
        <v>4000</v>
      </c>
      <c r="G341" s="31" t="s">
        <v>1279</v>
      </c>
      <c r="H341" t="s">
        <v>1545</v>
      </c>
    </row>
    <row r="342" spans="1:8">
      <c r="A342" s="29">
        <v>4074</v>
      </c>
      <c r="B342" s="30" t="s">
        <v>1282</v>
      </c>
      <c r="C342" s="31" t="s">
        <v>1283</v>
      </c>
      <c r="D342" s="32">
        <v>242</v>
      </c>
      <c r="E342" s="31" t="s">
        <v>1284</v>
      </c>
      <c r="F342" s="33">
        <v>1386</v>
      </c>
      <c r="G342" s="31" t="s">
        <v>1285</v>
      </c>
      <c r="H342" t="s">
        <v>117</v>
      </c>
    </row>
    <row r="343" spans="1:8">
      <c r="A343" s="29">
        <v>4310</v>
      </c>
      <c r="B343" s="30" t="s">
        <v>1286</v>
      </c>
      <c r="C343" s="31" t="s">
        <v>1287</v>
      </c>
      <c r="D343" s="32">
        <v>4300</v>
      </c>
      <c r="E343" s="31" t="s">
        <v>1288</v>
      </c>
      <c r="F343" s="33">
        <v>4300</v>
      </c>
      <c r="G343" s="31" t="s">
        <v>1289</v>
      </c>
      <c r="H343" t="s">
        <v>1545</v>
      </c>
    </row>
    <row r="344" spans="1:8">
      <c r="A344" s="29">
        <v>4320</v>
      </c>
      <c r="B344" s="30" t="s">
        <v>1290</v>
      </c>
      <c r="C344" s="31" t="s">
        <v>1291</v>
      </c>
      <c r="D344" s="32">
        <v>4300</v>
      </c>
      <c r="E344" s="31" t="s">
        <v>1288</v>
      </c>
      <c r="F344" s="33">
        <v>4300</v>
      </c>
      <c r="G344" s="31" t="s">
        <v>1289</v>
      </c>
      <c r="H344" t="s">
        <v>1545</v>
      </c>
    </row>
    <row r="345" spans="1:8">
      <c r="A345" s="29">
        <v>4410</v>
      </c>
      <c r="B345" s="30" t="s">
        <v>1292</v>
      </c>
      <c r="C345" s="31" t="s">
        <v>1293</v>
      </c>
      <c r="D345" s="32">
        <v>4400</v>
      </c>
      <c r="E345" s="31" t="s">
        <v>1294</v>
      </c>
      <c r="F345" s="33">
        <v>4400</v>
      </c>
      <c r="G345" s="31" t="s">
        <v>1295</v>
      </c>
      <c r="H345" t="s">
        <v>1545</v>
      </c>
    </row>
    <row r="346" spans="1:8">
      <c r="A346" s="29">
        <v>4420</v>
      </c>
      <c r="B346" s="30" t="s">
        <v>1296</v>
      </c>
      <c r="C346" s="31" t="s">
        <v>1297</v>
      </c>
      <c r="D346" s="32">
        <v>4400</v>
      </c>
      <c r="E346" s="31" t="s">
        <v>1294</v>
      </c>
      <c r="F346" s="33">
        <v>4400</v>
      </c>
      <c r="G346" s="31" t="s">
        <v>1295</v>
      </c>
      <c r="H346" t="s">
        <v>1545</v>
      </c>
    </row>
    <row r="347" spans="1:8">
      <c r="A347" s="29">
        <v>4510</v>
      </c>
      <c r="B347" s="30" t="s">
        <v>1298</v>
      </c>
      <c r="C347" s="31" t="s">
        <v>1299</v>
      </c>
      <c r="D347" s="32">
        <v>4500</v>
      </c>
      <c r="E347" s="31" t="s">
        <v>1300</v>
      </c>
      <c r="F347" s="33">
        <v>4500</v>
      </c>
      <c r="G347" s="31" t="s">
        <v>1301</v>
      </c>
      <c r="H347" t="s">
        <v>1545</v>
      </c>
    </row>
    <row r="348" spans="1:8">
      <c r="A348" s="29">
        <v>4520</v>
      </c>
      <c r="B348" s="30" t="s">
        <v>1302</v>
      </c>
      <c r="C348" s="31" t="s">
        <v>1303</v>
      </c>
      <c r="D348" s="32">
        <v>4500</v>
      </c>
      <c r="E348" s="31" t="s">
        <v>1300</v>
      </c>
      <c r="F348" s="33">
        <v>4500</v>
      </c>
      <c r="G348" s="31" t="s">
        <v>1301</v>
      </c>
      <c r="H348" t="s">
        <v>1545</v>
      </c>
    </row>
    <row r="349" spans="1:8">
      <c r="A349" s="29">
        <v>4710</v>
      </c>
      <c r="B349" s="34" t="s">
        <v>1304</v>
      </c>
      <c r="C349" s="31">
        <v>99999</v>
      </c>
      <c r="D349" s="32">
        <v>4700</v>
      </c>
      <c r="E349" s="35" t="s">
        <v>1305</v>
      </c>
      <c r="F349" s="33">
        <v>4700</v>
      </c>
      <c r="G349" s="31" t="s">
        <v>1306</v>
      </c>
      <c r="H349" t="s">
        <v>1545</v>
      </c>
    </row>
    <row r="350" spans="1:8">
      <c r="A350" s="29">
        <v>4720</v>
      </c>
      <c r="B350" s="34" t="s">
        <v>1307</v>
      </c>
      <c r="C350" s="31">
        <v>0</v>
      </c>
      <c r="D350" s="32">
        <v>4700</v>
      </c>
      <c r="E350" s="35" t="s">
        <v>1305</v>
      </c>
      <c r="F350" s="33">
        <v>4700</v>
      </c>
      <c r="G350" s="31" t="s">
        <v>1306</v>
      </c>
      <c r="H350" t="s">
        <v>1545</v>
      </c>
    </row>
    <row r="351" spans="1:8">
      <c r="A351" s="29">
        <v>4910</v>
      </c>
      <c r="B351" s="30" t="s">
        <v>1308</v>
      </c>
      <c r="C351" s="31" t="s">
        <v>1309</v>
      </c>
      <c r="D351" s="32">
        <v>4900</v>
      </c>
      <c r="E351" s="31" t="s">
        <v>1310</v>
      </c>
      <c r="F351" s="33">
        <v>4900</v>
      </c>
      <c r="G351" s="31" t="s">
        <v>1311</v>
      </c>
      <c r="H351" t="s">
        <v>1545</v>
      </c>
    </row>
    <row r="352" spans="1:8">
      <c r="A352" s="29">
        <v>4920</v>
      </c>
      <c r="B352" s="30" t="s">
        <v>1312</v>
      </c>
      <c r="C352" s="31" t="s">
        <v>1313</v>
      </c>
      <c r="D352" s="32">
        <v>4900</v>
      </c>
      <c r="E352" s="31" t="s">
        <v>1310</v>
      </c>
      <c r="F352" s="33">
        <v>4900</v>
      </c>
      <c r="G352" s="31" t="s">
        <v>1311</v>
      </c>
      <c r="H352" t="s">
        <v>1545</v>
      </c>
    </row>
    <row r="353" spans="1:8">
      <c r="A353" s="29">
        <v>5001</v>
      </c>
      <c r="B353" s="30" t="s">
        <v>1284</v>
      </c>
      <c r="C353" s="31" t="s">
        <v>1283</v>
      </c>
      <c r="D353" s="32">
        <v>242</v>
      </c>
      <c r="E353" s="31" t="s">
        <v>1284</v>
      </c>
      <c r="F353" s="33">
        <v>1386</v>
      </c>
      <c r="G353" s="31" t="s">
        <v>1285</v>
      </c>
      <c r="H353" t="s">
        <v>117</v>
      </c>
    </row>
    <row r="354" spans="1:8">
      <c r="A354" s="29">
        <v>5002</v>
      </c>
      <c r="B354" s="30" t="s">
        <v>1314</v>
      </c>
      <c r="C354" s="31" t="s">
        <v>623</v>
      </c>
      <c r="D354" s="32">
        <v>241</v>
      </c>
      <c r="E354" s="31" t="s">
        <v>1315</v>
      </c>
      <c r="F354" s="33">
        <v>1373</v>
      </c>
      <c r="G354" s="31" t="s">
        <v>1316</v>
      </c>
      <c r="H354" t="s">
        <v>120</v>
      </c>
    </row>
    <row r="355" spans="1:8">
      <c r="A355" s="29">
        <v>5003</v>
      </c>
      <c r="B355" s="30" t="s">
        <v>1317</v>
      </c>
      <c r="C355" s="31" t="s">
        <v>1318</v>
      </c>
      <c r="D355" s="32">
        <v>241</v>
      </c>
      <c r="E355" s="31" t="s">
        <v>1315</v>
      </c>
      <c r="F355" s="33">
        <v>1373</v>
      </c>
      <c r="G355" s="31" t="s">
        <v>1316</v>
      </c>
      <c r="H355" t="s">
        <v>120</v>
      </c>
    </row>
    <row r="356" spans="1:8">
      <c r="A356" s="29">
        <v>5005</v>
      </c>
      <c r="B356" s="30" t="s">
        <v>1319</v>
      </c>
      <c r="C356" s="31" t="s">
        <v>1090</v>
      </c>
      <c r="D356" s="32">
        <v>243</v>
      </c>
      <c r="E356" s="31" t="s">
        <v>1091</v>
      </c>
      <c r="F356" s="33">
        <v>1394</v>
      </c>
      <c r="G356" s="31" t="s">
        <v>1092</v>
      </c>
      <c r="H356" t="s">
        <v>117</v>
      </c>
    </row>
    <row r="357" spans="1:8">
      <c r="A357" s="29">
        <v>5012</v>
      </c>
      <c r="B357" s="30" t="s">
        <v>1320</v>
      </c>
      <c r="C357" s="31" t="s">
        <v>1029</v>
      </c>
      <c r="D357" s="32">
        <v>268</v>
      </c>
      <c r="E357" s="31" t="s">
        <v>1031</v>
      </c>
      <c r="F357" s="33">
        <v>1358</v>
      </c>
      <c r="G357" s="31" t="s">
        <v>1030</v>
      </c>
      <c r="H357" t="s">
        <v>117</v>
      </c>
    </row>
    <row r="358" spans="1:8">
      <c r="A358" s="29">
        <v>5017</v>
      </c>
      <c r="B358" s="30" t="s">
        <v>1321</v>
      </c>
      <c r="C358" s="31" t="s">
        <v>1322</v>
      </c>
      <c r="D358" s="32">
        <v>127</v>
      </c>
      <c r="E358" s="31" t="s">
        <v>767</v>
      </c>
      <c r="F358" s="33">
        <v>1398</v>
      </c>
      <c r="G358" s="31" t="s">
        <v>1323</v>
      </c>
      <c r="H358" t="s">
        <v>118</v>
      </c>
    </row>
    <row r="359" spans="1:8">
      <c r="A359" s="29">
        <v>5017</v>
      </c>
      <c r="B359" s="30" t="s">
        <v>1321</v>
      </c>
      <c r="C359" s="31" t="s">
        <v>1322</v>
      </c>
      <c r="D359" s="32">
        <v>246</v>
      </c>
      <c r="E359" s="31" t="s">
        <v>164</v>
      </c>
      <c r="F359" s="33">
        <v>1398</v>
      </c>
      <c r="G359" s="31" t="s">
        <v>1323</v>
      </c>
      <c r="H359" t="s">
        <v>118</v>
      </c>
    </row>
    <row r="360" spans="1:8">
      <c r="A360" s="29">
        <v>5018</v>
      </c>
      <c r="B360" s="30" t="s">
        <v>1324</v>
      </c>
      <c r="C360" s="31" t="s">
        <v>1325</v>
      </c>
      <c r="D360" s="32">
        <v>114</v>
      </c>
      <c r="E360" s="31" t="s">
        <v>757</v>
      </c>
      <c r="F360" s="33">
        <v>1158</v>
      </c>
      <c r="G360" s="31" t="s">
        <v>758</v>
      </c>
      <c r="H360" t="s">
        <v>117</v>
      </c>
    </row>
    <row r="361" spans="1:8">
      <c r="A361" s="29">
        <v>5019</v>
      </c>
      <c r="B361" s="30" t="s">
        <v>1326</v>
      </c>
      <c r="C361" s="31" t="s">
        <v>1327</v>
      </c>
      <c r="D361" s="32">
        <v>10</v>
      </c>
      <c r="E361" s="31" t="s">
        <v>454</v>
      </c>
      <c r="F361" s="33">
        <v>101</v>
      </c>
      <c r="G361" s="31" t="s">
        <v>722</v>
      </c>
      <c r="H361" t="s">
        <v>342</v>
      </c>
    </row>
    <row r="362" spans="1:8">
      <c r="A362" s="29">
        <v>5019</v>
      </c>
      <c r="B362" s="30" t="s">
        <v>1326</v>
      </c>
      <c r="C362" s="31" t="s">
        <v>1327</v>
      </c>
      <c r="D362" s="32">
        <v>181</v>
      </c>
      <c r="E362" s="31" t="s">
        <v>869</v>
      </c>
      <c r="F362" s="33">
        <v>101</v>
      </c>
      <c r="G362" s="31" t="s">
        <v>722</v>
      </c>
      <c r="H362" t="s">
        <v>342</v>
      </c>
    </row>
    <row r="363" spans="1:8">
      <c r="A363" s="29">
        <v>5019</v>
      </c>
      <c r="B363" s="30" t="s">
        <v>1326</v>
      </c>
      <c r="C363" s="31" t="s">
        <v>1327</v>
      </c>
      <c r="D363" s="32">
        <v>182</v>
      </c>
      <c r="E363" s="31" t="s">
        <v>870</v>
      </c>
      <c r="F363" s="33">
        <v>101</v>
      </c>
      <c r="G363" s="31" t="s">
        <v>722</v>
      </c>
      <c r="H363" t="s">
        <v>342</v>
      </c>
    </row>
    <row r="364" spans="1:8">
      <c r="A364" s="29">
        <v>5021</v>
      </c>
      <c r="B364" s="30" t="s">
        <v>1328</v>
      </c>
      <c r="C364" s="31" t="s">
        <v>1329</v>
      </c>
      <c r="D364" s="32">
        <v>259</v>
      </c>
      <c r="E364" s="31" t="s">
        <v>1330</v>
      </c>
      <c r="F364" s="33">
        <v>1433</v>
      </c>
      <c r="G364" s="31" t="s">
        <v>1331</v>
      </c>
      <c r="H364" t="s">
        <v>120</v>
      </c>
    </row>
    <row r="365" spans="1:8">
      <c r="A365" s="29">
        <v>5031</v>
      </c>
      <c r="B365" s="30" t="s">
        <v>1332</v>
      </c>
      <c r="C365" s="31" t="s">
        <v>1333</v>
      </c>
      <c r="D365" s="32">
        <v>130</v>
      </c>
      <c r="E365" s="31" t="s">
        <v>1334</v>
      </c>
      <c r="F365" s="33">
        <v>1493</v>
      </c>
      <c r="G365" s="31" t="s">
        <v>1335</v>
      </c>
      <c r="H365" t="s">
        <v>118</v>
      </c>
    </row>
    <row r="366" spans="1:8">
      <c r="A366" s="29">
        <v>5031</v>
      </c>
      <c r="B366" s="30" t="s">
        <v>1332</v>
      </c>
      <c r="C366" s="31" t="s">
        <v>1333</v>
      </c>
      <c r="D366" s="32">
        <v>284</v>
      </c>
      <c r="E366" s="31" t="s">
        <v>1336</v>
      </c>
      <c r="F366" s="33">
        <v>1493</v>
      </c>
      <c r="G366" s="31" t="s">
        <v>1335</v>
      </c>
      <c r="H366" t="s">
        <v>118</v>
      </c>
    </row>
    <row r="367" spans="1:8">
      <c r="A367" s="29">
        <v>5033</v>
      </c>
      <c r="B367" s="30" t="s">
        <v>1337</v>
      </c>
      <c r="C367" s="31" t="s">
        <v>1338</v>
      </c>
      <c r="D367" s="32">
        <v>130</v>
      </c>
      <c r="E367" s="31" t="s">
        <v>1334</v>
      </c>
      <c r="F367" s="33">
        <v>1344</v>
      </c>
      <c r="G367" s="31" t="s">
        <v>1339</v>
      </c>
      <c r="H367" t="s">
        <v>118</v>
      </c>
    </row>
    <row r="368" spans="1:8">
      <c r="A368" s="29">
        <v>5033</v>
      </c>
      <c r="B368" s="30" t="s">
        <v>1337</v>
      </c>
      <c r="C368" s="31" t="s">
        <v>1338</v>
      </c>
      <c r="D368" s="32">
        <v>284</v>
      </c>
      <c r="E368" s="31" t="s">
        <v>1336</v>
      </c>
      <c r="F368" s="33">
        <v>1344</v>
      </c>
      <c r="G368" s="31" t="s">
        <v>1339</v>
      </c>
      <c r="H368" t="s">
        <v>118</v>
      </c>
    </row>
    <row r="369" spans="1:8">
      <c r="A369" s="29">
        <v>5034</v>
      </c>
      <c r="B369" s="30" t="s">
        <v>1340</v>
      </c>
      <c r="C369" s="31" t="s">
        <v>1341</v>
      </c>
      <c r="D369" s="32">
        <v>130</v>
      </c>
      <c r="E369" s="31" t="s">
        <v>1334</v>
      </c>
      <c r="F369" s="33">
        <v>1189</v>
      </c>
      <c r="G369" s="31" t="s">
        <v>1342</v>
      </c>
      <c r="H369" t="s">
        <v>118</v>
      </c>
    </row>
    <row r="370" spans="1:8">
      <c r="A370" s="29">
        <v>5034</v>
      </c>
      <c r="B370" s="30" t="s">
        <v>1340</v>
      </c>
      <c r="C370" s="31" t="s">
        <v>1341</v>
      </c>
      <c r="D370" s="32">
        <v>284</v>
      </c>
      <c r="E370" s="31" t="s">
        <v>1336</v>
      </c>
      <c r="F370" s="33">
        <v>1189</v>
      </c>
      <c r="G370" s="31" t="s">
        <v>1342</v>
      </c>
      <c r="H370" t="s">
        <v>118</v>
      </c>
    </row>
    <row r="371" spans="1:8">
      <c r="A371" s="29">
        <v>5037</v>
      </c>
      <c r="B371" s="30" t="s">
        <v>1343</v>
      </c>
      <c r="C371" s="31" t="s">
        <v>1344</v>
      </c>
      <c r="D371" s="32">
        <v>10</v>
      </c>
      <c r="E371" s="31" t="s">
        <v>454</v>
      </c>
      <c r="F371" s="33">
        <v>101</v>
      </c>
      <c r="G371" s="31" t="s">
        <v>722</v>
      </c>
      <c r="H371" t="s">
        <v>342</v>
      </c>
    </row>
    <row r="372" spans="1:8">
      <c r="A372" s="29">
        <v>5042</v>
      </c>
      <c r="B372" s="30" t="s">
        <v>1345</v>
      </c>
      <c r="C372" s="31" t="s">
        <v>1346</v>
      </c>
      <c r="D372" s="32">
        <v>10</v>
      </c>
      <c r="E372" s="31" t="s">
        <v>454</v>
      </c>
      <c r="F372" s="33">
        <v>101</v>
      </c>
      <c r="G372" s="31" t="s">
        <v>722</v>
      </c>
      <c r="H372" t="s">
        <v>342</v>
      </c>
    </row>
    <row r="373" spans="1:8">
      <c r="A373" s="29">
        <v>5045</v>
      </c>
      <c r="B373" s="30" t="s">
        <v>1347</v>
      </c>
      <c r="C373" s="31" t="s">
        <v>1348</v>
      </c>
      <c r="D373" s="32">
        <v>10</v>
      </c>
      <c r="E373" s="31" t="s">
        <v>454</v>
      </c>
      <c r="F373" s="33">
        <v>101</v>
      </c>
      <c r="G373" s="31" t="s">
        <v>722</v>
      </c>
      <c r="H373" t="s">
        <v>342</v>
      </c>
    </row>
    <row r="374" spans="1:8">
      <c r="A374" s="29">
        <v>5045</v>
      </c>
      <c r="B374" s="30" t="s">
        <v>1347</v>
      </c>
      <c r="C374" s="31" t="s">
        <v>1348</v>
      </c>
      <c r="D374" s="32">
        <v>181</v>
      </c>
      <c r="E374" s="31" t="s">
        <v>869</v>
      </c>
      <c r="F374" s="33">
        <v>101</v>
      </c>
      <c r="G374" s="31" t="s">
        <v>722</v>
      </c>
      <c r="H374" t="s">
        <v>342</v>
      </c>
    </row>
    <row r="375" spans="1:8">
      <c r="A375" s="29">
        <v>5045</v>
      </c>
      <c r="B375" s="30" t="s">
        <v>1347</v>
      </c>
      <c r="C375" s="31" t="s">
        <v>1348</v>
      </c>
      <c r="D375" s="32">
        <v>182</v>
      </c>
      <c r="E375" s="31" t="s">
        <v>870</v>
      </c>
      <c r="F375" s="33">
        <v>101</v>
      </c>
      <c r="G375" s="31" t="s">
        <v>722</v>
      </c>
      <c r="H375" t="s">
        <v>342</v>
      </c>
    </row>
    <row r="376" spans="1:8">
      <c r="A376" s="29">
        <v>5064</v>
      </c>
      <c r="B376" s="30" t="s">
        <v>1349</v>
      </c>
      <c r="C376" s="31" t="s">
        <v>1350</v>
      </c>
      <c r="D376" s="32">
        <v>10</v>
      </c>
      <c r="E376" s="31" t="s">
        <v>454</v>
      </c>
      <c r="F376" s="33">
        <v>1184</v>
      </c>
      <c r="G376" s="31" t="s">
        <v>953</v>
      </c>
      <c r="H376" t="s">
        <v>342</v>
      </c>
    </row>
    <row r="377" spans="1:8">
      <c r="A377" s="29">
        <v>5067</v>
      </c>
      <c r="B377" s="30" t="s">
        <v>1351</v>
      </c>
      <c r="C377" s="31" t="s">
        <v>1352</v>
      </c>
      <c r="D377" s="32">
        <v>10</v>
      </c>
      <c r="E377" s="31" t="s">
        <v>454</v>
      </c>
      <c r="F377" s="33">
        <v>101</v>
      </c>
      <c r="G377" s="31" t="s">
        <v>722</v>
      </c>
      <c r="H377" t="s">
        <v>342</v>
      </c>
    </row>
    <row r="378" spans="1:8">
      <c r="A378" s="29">
        <v>5067</v>
      </c>
      <c r="B378" s="30" t="s">
        <v>1351</v>
      </c>
      <c r="C378" s="31" t="s">
        <v>1352</v>
      </c>
      <c r="D378" s="32">
        <v>182</v>
      </c>
      <c r="E378" s="31" t="s">
        <v>870</v>
      </c>
      <c r="F378" s="33">
        <v>101</v>
      </c>
      <c r="G378" s="31" t="s">
        <v>722</v>
      </c>
      <c r="H378" t="s">
        <v>342</v>
      </c>
    </row>
    <row r="379" spans="1:8">
      <c r="A379" s="29">
        <v>5070</v>
      </c>
      <c r="B379" s="30" t="s">
        <v>1353</v>
      </c>
      <c r="C379" s="31" t="s">
        <v>1354</v>
      </c>
      <c r="D379" s="32">
        <v>10</v>
      </c>
      <c r="E379" s="31" t="s">
        <v>454</v>
      </c>
      <c r="F379" s="33">
        <v>101</v>
      </c>
      <c r="G379" s="31" t="s">
        <v>722</v>
      </c>
      <c r="H379" t="s">
        <v>342</v>
      </c>
    </row>
    <row r="380" spans="1:8">
      <c r="A380" s="29">
        <v>5072</v>
      </c>
      <c r="B380" s="30" t="s">
        <v>1355</v>
      </c>
      <c r="C380" s="31" t="s">
        <v>1356</v>
      </c>
      <c r="D380" s="32">
        <v>103</v>
      </c>
      <c r="E380" s="31" t="s">
        <v>590</v>
      </c>
      <c r="F380" s="33">
        <v>1847</v>
      </c>
      <c r="G380" s="31" t="s">
        <v>1357</v>
      </c>
      <c r="H380" t="s">
        <v>118</v>
      </c>
    </row>
    <row r="381" spans="1:8">
      <c r="A381" s="29">
        <v>5072</v>
      </c>
      <c r="B381" s="30" t="s">
        <v>1355</v>
      </c>
      <c r="C381" s="31" t="s">
        <v>1356</v>
      </c>
      <c r="D381" s="32">
        <v>106</v>
      </c>
      <c r="E381" s="31" t="s">
        <v>676</v>
      </c>
      <c r="F381" s="33">
        <v>1847</v>
      </c>
      <c r="G381" s="31" t="s">
        <v>1357</v>
      </c>
      <c r="H381" t="s">
        <v>118</v>
      </c>
    </row>
    <row r="382" spans="1:8">
      <c r="A382" s="29">
        <v>5072</v>
      </c>
      <c r="B382" s="30" t="s">
        <v>1355</v>
      </c>
      <c r="C382" s="31" t="s">
        <v>1356</v>
      </c>
      <c r="D382" s="32">
        <v>159</v>
      </c>
      <c r="E382" s="31" t="s">
        <v>178</v>
      </c>
      <c r="F382" s="33">
        <v>1847</v>
      </c>
      <c r="G382" s="31" t="s">
        <v>1357</v>
      </c>
      <c r="H382" t="s">
        <v>118</v>
      </c>
    </row>
    <row r="383" spans="1:8">
      <c r="A383" s="29">
        <v>5072</v>
      </c>
      <c r="B383" s="30" t="s">
        <v>1355</v>
      </c>
      <c r="C383" s="31" t="s">
        <v>1356</v>
      </c>
      <c r="D383" s="32">
        <v>160</v>
      </c>
      <c r="E383" s="31" t="s">
        <v>205</v>
      </c>
      <c r="F383" s="33">
        <v>1847</v>
      </c>
      <c r="G383" s="31" t="s">
        <v>1357</v>
      </c>
      <c r="H383" t="s">
        <v>118</v>
      </c>
    </row>
    <row r="384" spans="1:8">
      <c r="A384" s="29">
        <v>5102</v>
      </c>
      <c r="B384" s="30" t="s">
        <v>1358</v>
      </c>
      <c r="C384" s="31" t="s">
        <v>1359</v>
      </c>
      <c r="D384" s="32">
        <v>265</v>
      </c>
      <c r="E384" s="31" t="s">
        <v>1360</v>
      </c>
      <c r="F384" s="33">
        <v>1551</v>
      </c>
      <c r="G384" s="31" t="s">
        <v>519</v>
      </c>
      <c r="H384" t="s">
        <v>342</v>
      </c>
    </row>
    <row r="385" spans="1:8">
      <c r="A385" s="29">
        <v>5107</v>
      </c>
      <c r="B385" s="30" t="s">
        <v>1361</v>
      </c>
      <c r="C385" s="31" t="s">
        <v>1362</v>
      </c>
      <c r="D385" s="32">
        <v>10</v>
      </c>
      <c r="E385" s="31" t="s">
        <v>454</v>
      </c>
      <c r="F385" s="33">
        <v>101</v>
      </c>
      <c r="G385" s="31" t="s">
        <v>722</v>
      </c>
      <c r="H385" t="s">
        <v>342</v>
      </c>
    </row>
    <row r="386" spans="1:8">
      <c r="A386" s="29">
        <v>5109</v>
      </c>
      <c r="B386" s="30" t="s">
        <v>1363</v>
      </c>
      <c r="C386" s="31" t="s">
        <v>1364</v>
      </c>
      <c r="D386" s="32">
        <v>10</v>
      </c>
      <c r="E386" s="31" t="s">
        <v>454</v>
      </c>
      <c r="F386" s="33">
        <v>101</v>
      </c>
      <c r="G386" s="31" t="s">
        <v>722</v>
      </c>
      <c r="H386" t="s">
        <v>342</v>
      </c>
    </row>
    <row r="387" spans="1:8">
      <c r="A387" s="29">
        <v>5110</v>
      </c>
      <c r="B387" s="30" t="s">
        <v>1365</v>
      </c>
      <c r="C387" s="31" t="s">
        <v>1366</v>
      </c>
      <c r="D387" s="32">
        <v>45</v>
      </c>
      <c r="E387" s="31" t="s">
        <v>556</v>
      </c>
      <c r="F387" s="33">
        <v>1775</v>
      </c>
      <c r="G387" s="31" t="s">
        <v>557</v>
      </c>
      <c r="H387" t="s">
        <v>120</v>
      </c>
    </row>
    <row r="388" spans="1:8">
      <c r="A388" s="29">
        <v>5110</v>
      </c>
      <c r="B388" s="30" t="s">
        <v>1365</v>
      </c>
      <c r="C388" s="31" t="s">
        <v>1366</v>
      </c>
      <c r="D388" s="32">
        <v>5100</v>
      </c>
      <c r="E388" s="31" t="s">
        <v>1367</v>
      </c>
      <c r="F388" s="33">
        <v>1775</v>
      </c>
      <c r="G388" s="31" t="s">
        <v>557</v>
      </c>
      <c r="H388" t="s">
        <v>120</v>
      </c>
    </row>
    <row r="389" spans="1:8">
      <c r="A389" s="29">
        <v>5114</v>
      </c>
      <c r="B389" s="30" t="s">
        <v>1368</v>
      </c>
      <c r="C389" s="31" t="s">
        <v>1318</v>
      </c>
      <c r="D389" s="32">
        <v>266</v>
      </c>
      <c r="E389" s="31" t="s">
        <v>1369</v>
      </c>
      <c r="F389" s="33">
        <v>1853</v>
      </c>
      <c r="G389" s="31" t="s">
        <v>1370</v>
      </c>
      <c r="H389" t="s">
        <v>118</v>
      </c>
    </row>
    <row r="390" spans="1:8">
      <c r="A390" s="29">
        <v>5115</v>
      </c>
      <c r="B390" s="30" t="s">
        <v>1371</v>
      </c>
      <c r="C390" s="31" t="s">
        <v>1372</v>
      </c>
      <c r="D390" s="32">
        <v>10</v>
      </c>
      <c r="E390" s="31" t="s">
        <v>454</v>
      </c>
      <c r="F390" s="33">
        <v>101</v>
      </c>
      <c r="G390" s="31" t="s">
        <v>722</v>
      </c>
      <c r="H390" t="s">
        <v>342</v>
      </c>
    </row>
    <row r="391" spans="1:8">
      <c r="A391" s="29">
        <v>5115</v>
      </c>
      <c r="B391" s="30" t="s">
        <v>1371</v>
      </c>
      <c r="C391" s="31" t="s">
        <v>1372</v>
      </c>
      <c r="D391" s="32">
        <v>181</v>
      </c>
      <c r="E391" s="31" t="s">
        <v>869</v>
      </c>
      <c r="F391" s="33">
        <v>101</v>
      </c>
      <c r="G391" s="31" t="s">
        <v>722</v>
      </c>
      <c r="H391" t="s">
        <v>342</v>
      </c>
    </row>
    <row r="392" spans="1:8">
      <c r="A392" s="29">
        <v>5115</v>
      </c>
      <c r="B392" s="30" t="s">
        <v>1371</v>
      </c>
      <c r="C392" s="31" t="s">
        <v>1372</v>
      </c>
      <c r="D392" s="32">
        <v>182</v>
      </c>
      <c r="E392" s="31" t="s">
        <v>870</v>
      </c>
      <c r="F392" s="33">
        <v>101</v>
      </c>
      <c r="G392" s="31" t="s">
        <v>722</v>
      </c>
      <c r="H392" t="s">
        <v>342</v>
      </c>
    </row>
    <row r="393" spans="1:8">
      <c r="A393" s="29">
        <v>5122</v>
      </c>
      <c r="B393" s="30" t="s">
        <v>755</v>
      </c>
      <c r="C393" s="31" t="s">
        <v>1373</v>
      </c>
      <c r="D393" s="32">
        <v>114</v>
      </c>
      <c r="E393" s="31" t="s">
        <v>757</v>
      </c>
      <c r="F393" s="33">
        <v>1158</v>
      </c>
      <c r="G393" s="31" t="s">
        <v>758</v>
      </c>
      <c r="H393" t="s">
        <v>117</v>
      </c>
    </row>
    <row r="394" spans="1:8">
      <c r="A394" s="29">
        <v>5142</v>
      </c>
      <c r="B394" s="30" t="s">
        <v>1374</v>
      </c>
      <c r="C394" s="31" t="s">
        <v>1375</v>
      </c>
      <c r="D394" s="32">
        <v>114</v>
      </c>
      <c r="E394" s="31" t="s">
        <v>757</v>
      </c>
      <c r="F394" s="33">
        <v>1158</v>
      </c>
      <c r="G394" s="31" t="s">
        <v>758</v>
      </c>
      <c r="H394" t="s">
        <v>117</v>
      </c>
    </row>
    <row r="395" spans="1:8">
      <c r="A395" s="29">
        <v>5145</v>
      </c>
      <c r="B395" s="30" t="s">
        <v>1376</v>
      </c>
      <c r="C395" s="31" t="s">
        <v>1377</v>
      </c>
      <c r="D395" s="32">
        <v>10</v>
      </c>
      <c r="E395" s="31" t="s">
        <v>454</v>
      </c>
      <c r="F395" s="33">
        <v>101</v>
      </c>
      <c r="G395" s="31" t="s">
        <v>722</v>
      </c>
      <c r="H395" t="s">
        <v>342</v>
      </c>
    </row>
    <row r="396" spans="1:8">
      <c r="A396" s="29">
        <v>5145</v>
      </c>
      <c r="B396" s="30" t="s">
        <v>1376</v>
      </c>
      <c r="C396" s="31" t="s">
        <v>1377</v>
      </c>
      <c r="D396" s="32">
        <v>181</v>
      </c>
      <c r="E396" s="31" t="s">
        <v>869</v>
      </c>
      <c r="F396" s="33">
        <v>101</v>
      </c>
      <c r="G396" s="31" t="s">
        <v>722</v>
      </c>
      <c r="H396" t="s">
        <v>342</v>
      </c>
    </row>
    <row r="397" spans="1:8">
      <c r="A397" s="29">
        <v>5145</v>
      </c>
      <c r="B397" s="30" t="s">
        <v>1376</v>
      </c>
      <c r="C397" s="31" t="s">
        <v>1377</v>
      </c>
      <c r="D397" s="32">
        <v>182</v>
      </c>
      <c r="E397" s="31" t="s">
        <v>870</v>
      </c>
      <c r="F397" s="33">
        <v>101</v>
      </c>
      <c r="G397" s="31" t="s">
        <v>722</v>
      </c>
      <c r="H397" t="s">
        <v>342</v>
      </c>
    </row>
    <row r="398" spans="1:8">
      <c r="A398" s="29">
        <v>5151</v>
      </c>
      <c r="B398" s="30" t="s">
        <v>1378</v>
      </c>
      <c r="C398" s="31" t="s">
        <v>1379</v>
      </c>
      <c r="D398" s="32">
        <v>42</v>
      </c>
      <c r="E398" s="31" t="s">
        <v>544</v>
      </c>
      <c r="F398" s="33">
        <v>1761</v>
      </c>
      <c r="G398" s="31" t="s">
        <v>545</v>
      </c>
      <c r="H398" t="s">
        <v>118</v>
      </c>
    </row>
    <row r="399" spans="1:8">
      <c r="A399" s="29">
        <v>5151</v>
      </c>
      <c r="B399" s="30" t="s">
        <v>1378</v>
      </c>
      <c r="C399" s="31" t="s">
        <v>1379</v>
      </c>
      <c r="D399" s="32">
        <v>214</v>
      </c>
      <c r="E399" s="31" t="s">
        <v>993</v>
      </c>
      <c r="F399" s="33">
        <v>1761</v>
      </c>
      <c r="G399" s="31" t="s">
        <v>545</v>
      </c>
      <c r="H399" t="s">
        <v>118</v>
      </c>
    </row>
    <row r="400" spans="1:8">
      <c r="A400" s="29">
        <v>5154</v>
      </c>
      <c r="B400" s="30" t="s">
        <v>1380</v>
      </c>
      <c r="C400" s="31" t="s">
        <v>1381</v>
      </c>
      <c r="D400" s="32">
        <v>268</v>
      </c>
      <c r="E400" s="31" t="s">
        <v>1031</v>
      </c>
      <c r="F400" s="33">
        <v>1358</v>
      </c>
      <c r="G400" s="31" t="s">
        <v>1030</v>
      </c>
      <c r="H400" t="s">
        <v>117</v>
      </c>
    </row>
    <row r="401" spans="1:8">
      <c r="A401" s="29">
        <v>5156</v>
      </c>
      <c r="B401" s="30" t="s">
        <v>1382</v>
      </c>
      <c r="C401" s="31" t="s">
        <v>1383</v>
      </c>
      <c r="D401" s="32">
        <v>102</v>
      </c>
      <c r="E401" s="31" t="s">
        <v>687</v>
      </c>
      <c r="F401" s="33">
        <v>1914</v>
      </c>
      <c r="G401" s="31" t="s">
        <v>1384</v>
      </c>
      <c r="H401" t="s">
        <v>120</v>
      </c>
    </row>
    <row r="402" spans="1:8">
      <c r="A402" s="29">
        <v>5159</v>
      </c>
      <c r="B402" s="30" t="s">
        <v>755</v>
      </c>
      <c r="C402" s="31" t="s">
        <v>1385</v>
      </c>
      <c r="D402" s="32">
        <v>114</v>
      </c>
      <c r="E402" s="31" t="s">
        <v>757</v>
      </c>
      <c r="F402" s="33">
        <v>1158</v>
      </c>
      <c r="G402" s="31" t="s">
        <v>758</v>
      </c>
      <c r="H402" t="s">
        <v>117</v>
      </c>
    </row>
    <row r="403" spans="1:8">
      <c r="A403" s="29">
        <v>5161</v>
      </c>
      <c r="B403" s="30" t="s">
        <v>1386</v>
      </c>
      <c r="C403" s="31" t="s">
        <v>1387</v>
      </c>
      <c r="D403" s="32">
        <v>10</v>
      </c>
      <c r="E403" s="31" t="s">
        <v>454</v>
      </c>
      <c r="F403" s="33">
        <v>101</v>
      </c>
      <c r="G403" s="31" t="s">
        <v>722</v>
      </c>
      <c r="H403" t="s">
        <v>342</v>
      </c>
    </row>
    <row r="404" spans="1:8">
      <c r="A404" s="29">
        <v>5170</v>
      </c>
      <c r="B404" s="30" t="s">
        <v>1388</v>
      </c>
      <c r="C404" s="31" t="s">
        <v>1389</v>
      </c>
      <c r="D404" s="32">
        <v>114</v>
      </c>
      <c r="E404" s="31" t="s">
        <v>757</v>
      </c>
      <c r="F404" s="33">
        <v>1158</v>
      </c>
      <c r="G404" s="31" t="s">
        <v>758</v>
      </c>
      <c r="H404" t="s">
        <v>117</v>
      </c>
    </row>
    <row r="405" spans="1:8">
      <c r="A405" s="29">
        <v>5174</v>
      </c>
      <c r="B405" s="30" t="s">
        <v>755</v>
      </c>
      <c r="C405" s="31" t="s">
        <v>1390</v>
      </c>
      <c r="D405" s="32">
        <v>114</v>
      </c>
      <c r="E405" s="31" t="s">
        <v>757</v>
      </c>
      <c r="F405" s="33">
        <v>1158</v>
      </c>
      <c r="G405" s="31" t="s">
        <v>758</v>
      </c>
      <c r="H405" t="s">
        <v>117</v>
      </c>
    </row>
    <row r="406" spans="1:8">
      <c r="A406" s="29">
        <v>5175</v>
      </c>
      <c r="B406" s="30" t="s">
        <v>1391</v>
      </c>
      <c r="C406" s="31" t="s">
        <v>1392</v>
      </c>
      <c r="D406" s="32">
        <v>10</v>
      </c>
      <c r="E406" s="31" t="s">
        <v>454</v>
      </c>
      <c r="F406" s="33">
        <v>101</v>
      </c>
      <c r="G406" s="31" t="s">
        <v>722</v>
      </c>
      <c r="H406" t="s">
        <v>342</v>
      </c>
    </row>
    <row r="407" spans="1:8">
      <c r="A407" s="29">
        <v>5176</v>
      </c>
      <c r="B407" s="30" t="s">
        <v>1393</v>
      </c>
      <c r="C407" s="31" t="s">
        <v>1394</v>
      </c>
      <c r="D407" s="32">
        <v>184</v>
      </c>
      <c r="E407" s="31" t="s">
        <v>970</v>
      </c>
      <c r="F407" s="33">
        <v>1922</v>
      </c>
      <c r="G407" s="31" t="s">
        <v>1395</v>
      </c>
      <c r="H407" t="s">
        <v>117</v>
      </c>
    </row>
    <row r="408" spans="1:8">
      <c r="A408" s="29">
        <v>5176</v>
      </c>
      <c r="B408" s="30" t="s">
        <v>1393</v>
      </c>
      <c r="C408" s="31" t="s">
        <v>1394</v>
      </c>
      <c r="D408" s="32">
        <v>270</v>
      </c>
      <c r="E408" s="31" t="s">
        <v>1396</v>
      </c>
      <c r="F408" s="33">
        <v>1922</v>
      </c>
      <c r="G408" s="31" t="s">
        <v>1395</v>
      </c>
      <c r="H408" t="s">
        <v>117</v>
      </c>
    </row>
    <row r="409" spans="1:8">
      <c r="A409" s="29">
        <v>5177</v>
      </c>
      <c r="B409" s="30" t="s">
        <v>1397</v>
      </c>
      <c r="C409" s="31" t="s">
        <v>1398</v>
      </c>
      <c r="D409" s="32">
        <v>34</v>
      </c>
      <c r="E409" s="31" t="s">
        <v>1399</v>
      </c>
      <c r="F409" s="33">
        <v>1920</v>
      </c>
      <c r="G409" s="31" t="s">
        <v>1400</v>
      </c>
      <c r="H409" t="s">
        <v>118</v>
      </c>
    </row>
    <row r="410" spans="1:8">
      <c r="A410" s="29">
        <v>5178</v>
      </c>
      <c r="B410" s="30" t="s">
        <v>1401</v>
      </c>
      <c r="C410" s="31" t="s">
        <v>1402</v>
      </c>
      <c r="D410" s="32">
        <v>10</v>
      </c>
      <c r="E410" s="31" t="s">
        <v>454</v>
      </c>
      <c r="F410" s="33">
        <v>101</v>
      </c>
      <c r="G410" s="31" t="s">
        <v>722</v>
      </c>
      <c r="H410" t="s">
        <v>342</v>
      </c>
    </row>
    <row r="411" spans="1:8">
      <c r="A411" s="29">
        <v>5182</v>
      </c>
      <c r="B411" s="30" t="s">
        <v>1403</v>
      </c>
      <c r="C411" s="31" t="s">
        <v>1404</v>
      </c>
      <c r="D411" s="32">
        <v>10</v>
      </c>
      <c r="E411" s="31" t="s">
        <v>454</v>
      </c>
      <c r="F411" s="33">
        <v>101</v>
      </c>
      <c r="G411" s="31" t="s">
        <v>722</v>
      </c>
      <c r="H411" t="s">
        <v>342</v>
      </c>
    </row>
    <row r="412" spans="1:8">
      <c r="A412" s="29">
        <v>5186</v>
      </c>
      <c r="B412" s="30" t="s">
        <v>1405</v>
      </c>
      <c r="C412" s="31" t="s">
        <v>1406</v>
      </c>
      <c r="D412" s="32">
        <v>272</v>
      </c>
      <c r="E412" s="31" t="s">
        <v>1407</v>
      </c>
      <c r="F412" s="33">
        <v>1926</v>
      </c>
      <c r="G412" s="31" t="s">
        <v>1408</v>
      </c>
      <c r="H412" t="s">
        <v>118</v>
      </c>
    </row>
    <row r="413" spans="1:8">
      <c r="A413" s="29">
        <v>5192</v>
      </c>
      <c r="B413" s="30" t="s">
        <v>1409</v>
      </c>
      <c r="C413" s="31" t="s">
        <v>1410</v>
      </c>
      <c r="D413" s="32">
        <v>10</v>
      </c>
      <c r="E413" s="31" t="s">
        <v>454</v>
      </c>
      <c r="F413" s="33">
        <v>101</v>
      </c>
      <c r="G413" s="31" t="s">
        <v>722</v>
      </c>
      <c r="H413" t="s">
        <v>342</v>
      </c>
    </row>
    <row r="414" spans="1:8">
      <c r="A414" s="29">
        <v>5194</v>
      </c>
      <c r="B414" s="30" t="s">
        <v>1411</v>
      </c>
      <c r="C414" s="31" t="s">
        <v>1412</v>
      </c>
      <c r="D414" s="32">
        <v>10</v>
      </c>
      <c r="E414" s="31" t="s">
        <v>454</v>
      </c>
      <c r="F414" s="33">
        <v>101</v>
      </c>
      <c r="G414" s="31" t="s">
        <v>722</v>
      </c>
      <c r="H414" t="s">
        <v>342</v>
      </c>
    </row>
    <row r="415" spans="1:8">
      <c r="A415" s="29">
        <v>5195</v>
      </c>
      <c r="B415" s="30" t="s">
        <v>1413</v>
      </c>
      <c r="C415" s="31" t="s">
        <v>1414</v>
      </c>
      <c r="D415" s="32">
        <v>10</v>
      </c>
      <c r="E415" s="31" t="s">
        <v>454</v>
      </c>
      <c r="F415" s="33">
        <v>101</v>
      </c>
      <c r="G415" s="31" t="s">
        <v>722</v>
      </c>
      <c r="H415" t="s">
        <v>342</v>
      </c>
    </row>
    <row r="416" spans="1:8">
      <c r="A416" s="29">
        <v>5196</v>
      </c>
      <c r="B416" s="30" t="s">
        <v>1415</v>
      </c>
      <c r="C416" s="31" t="s">
        <v>1416</v>
      </c>
      <c r="D416" s="32">
        <v>10</v>
      </c>
      <c r="E416" s="31" t="s">
        <v>454</v>
      </c>
      <c r="F416" s="33">
        <v>101</v>
      </c>
      <c r="G416" s="31" t="s">
        <v>722</v>
      </c>
      <c r="H416" t="s">
        <v>342</v>
      </c>
    </row>
    <row r="417" spans="1:8">
      <c r="A417" s="29">
        <v>5199</v>
      </c>
      <c r="B417" s="30" t="s">
        <v>1417</v>
      </c>
      <c r="C417" s="31" t="s">
        <v>1418</v>
      </c>
      <c r="D417" s="32">
        <v>10</v>
      </c>
      <c r="E417" s="31" t="s">
        <v>454</v>
      </c>
      <c r="F417" s="33">
        <v>101</v>
      </c>
      <c r="G417" s="31" t="s">
        <v>722</v>
      </c>
      <c r="H417" t="s">
        <v>342</v>
      </c>
    </row>
    <row r="418" spans="1:8">
      <c r="A418" s="29">
        <v>5207</v>
      </c>
      <c r="B418" s="30" t="s">
        <v>1419</v>
      </c>
      <c r="C418" s="31" t="s">
        <v>1420</v>
      </c>
      <c r="D418" s="32">
        <v>10</v>
      </c>
      <c r="E418" s="31" t="s">
        <v>454</v>
      </c>
      <c r="F418" s="33">
        <v>101</v>
      </c>
      <c r="G418" s="31" t="s">
        <v>722</v>
      </c>
      <c r="H418" t="s">
        <v>342</v>
      </c>
    </row>
    <row r="419" spans="1:8">
      <c r="A419" s="29">
        <v>5209</v>
      </c>
      <c r="B419" s="30" t="s">
        <v>1421</v>
      </c>
      <c r="C419" s="31" t="s">
        <v>1422</v>
      </c>
      <c r="D419" s="32">
        <v>10</v>
      </c>
      <c r="E419" s="31" t="s">
        <v>454</v>
      </c>
      <c r="F419" s="33">
        <v>101</v>
      </c>
      <c r="G419" s="31" t="s">
        <v>722</v>
      </c>
      <c r="H419" t="s">
        <v>342</v>
      </c>
    </row>
    <row r="420" spans="1:8">
      <c r="A420" s="29">
        <v>5214</v>
      </c>
      <c r="B420" s="30" t="s">
        <v>1423</v>
      </c>
      <c r="C420" s="31" t="s">
        <v>1424</v>
      </c>
      <c r="D420" s="32">
        <v>10</v>
      </c>
      <c r="E420" s="31" t="s">
        <v>454</v>
      </c>
      <c r="F420" s="33">
        <v>101</v>
      </c>
      <c r="G420" s="31" t="s">
        <v>722</v>
      </c>
      <c r="H420" t="s">
        <v>342</v>
      </c>
    </row>
    <row r="421" spans="1:8">
      <c r="A421" s="29">
        <v>5215</v>
      </c>
      <c r="B421" s="30" t="s">
        <v>1425</v>
      </c>
      <c r="C421" s="31" t="s">
        <v>1426</v>
      </c>
      <c r="D421" s="32">
        <v>10</v>
      </c>
      <c r="E421" s="31" t="s">
        <v>454</v>
      </c>
      <c r="F421" s="33">
        <v>101</v>
      </c>
      <c r="G421" s="31" t="s">
        <v>722</v>
      </c>
      <c r="H421" t="s">
        <v>342</v>
      </c>
    </row>
    <row r="422" spans="1:8">
      <c r="A422" s="29">
        <v>5216</v>
      </c>
      <c r="B422" s="30" t="s">
        <v>1427</v>
      </c>
      <c r="C422" s="31" t="s">
        <v>1428</v>
      </c>
      <c r="D422" s="32">
        <v>10</v>
      </c>
      <c r="E422" s="31" t="s">
        <v>454</v>
      </c>
      <c r="F422" s="33">
        <v>101</v>
      </c>
      <c r="G422" s="31" t="s">
        <v>722</v>
      </c>
      <c r="H422" t="s">
        <v>342</v>
      </c>
    </row>
    <row r="423" spans="1:8">
      <c r="A423" s="29">
        <v>5217</v>
      </c>
      <c r="B423" s="30" t="s">
        <v>1429</v>
      </c>
      <c r="C423" s="31" t="s">
        <v>1430</v>
      </c>
      <c r="D423" s="32">
        <v>10</v>
      </c>
      <c r="E423" s="31" t="s">
        <v>454</v>
      </c>
      <c r="F423" s="33">
        <v>101</v>
      </c>
      <c r="G423" s="31" t="s">
        <v>722</v>
      </c>
      <c r="H423" t="s">
        <v>342</v>
      </c>
    </row>
    <row r="424" spans="1:8">
      <c r="A424" s="29">
        <v>5217</v>
      </c>
      <c r="B424" s="30" t="s">
        <v>1429</v>
      </c>
      <c r="C424" s="31" t="s">
        <v>1430</v>
      </c>
      <c r="D424" s="32">
        <v>181</v>
      </c>
      <c r="E424" s="31" t="s">
        <v>869</v>
      </c>
      <c r="F424" s="33">
        <v>101</v>
      </c>
      <c r="G424" s="31" t="s">
        <v>722</v>
      </c>
      <c r="H424" t="s">
        <v>342</v>
      </c>
    </row>
    <row r="425" spans="1:8">
      <c r="A425" s="29">
        <v>5217</v>
      </c>
      <c r="B425" s="30" t="s">
        <v>1429</v>
      </c>
      <c r="C425" s="31" t="s">
        <v>1430</v>
      </c>
      <c r="D425" s="32">
        <v>182</v>
      </c>
      <c r="E425" s="31" t="s">
        <v>870</v>
      </c>
      <c r="F425" s="33">
        <v>101</v>
      </c>
      <c r="G425" s="31" t="s">
        <v>722</v>
      </c>
      <c r="H425" t="s">
        <v>342</v>
      </c>
    </row>
    <row r="426" spans="1:8">
      <c r="A426" s="29">
        <v>5218</v>
      </c>
      <c r="B426" s="30" t="s">
        <v>1431</v>
      </c>
      <c r="C426" s="31" t="s">
        <v>1432</v>
      </c>
      <c r="D426" s="32">
        <v>231</v>
      </c>
      <c r="E426" s="31" t="s">
        <v>1026</v>
      </c>
      <c r="F426" s="33">
        <v>1919</v>
      </c>
      <c r="G426" s="31" t="s">
        <v>1431</v>
      </c>
      <c r="H426" t="s">
        <v>118</v>
      </c>
    </row>
    <row r="427" spans="1:8">
      <c r="A427" s="29">
        <v>5219</v>
      </c>
      <c r="B427" s="30" t="s">
        <v>1433</v>
      </c>
      <c r="C427" s="31" t="s">
        <v>1434</v>
      </c>
      <c r="D427" s="32">
        <v>231</v>
      </c>
      <c r="E427" s="31" t="s">
        <v>1026</v>
      </c>
      <c r="F427" s="33">
        <v>1919</v>
      </c>
      <c r="G427" s="31" t="s">
        <v>1431</v>
      </c>
      <c r="H427" t="s">
        <v>118</v>
      </c>
    </row>
    <row r="428" spans="1:8">
      <c r="A428" s="29">
        <v>5220</v>
      </c>
      <c r="B428" s="30" t="s">
        <v>1435</v>
      </c>
      <c r="C428" s="31" t="s">
        <v>1436</v>
      </c>
      <c r="D428" s="32">
        <v>97</v>
      </c>
      <c r="E428" s="31" t="s">
        <v>663</v>
      </c>
      <c r="F428" s="33">
        <v>1908</v>
      </c>
      <c r="G428" s="31" t="s">
        <v>1437</v>
      </c>
      <c r="H428" t="s">
        <v>117</v>
      </c>
    </row>
    <row r="429" spans="1:8">
      <c r="A429" s="29">
        <v>5221</v>
      </c>
      <c r="B429" s="30" t="s">
        <v>1438</v>
      </c>
      <c r="C429" s="31" t="s">
        <v>1439</v>
      </c>
      <c r="D429" s="32">
        <v>10</v>
      </c>
      <c r="E429" s="31" t="s">
        <v>454</v>
      </c>
      <c r="F429" s="33">
        <v>101</v>
      </c>
      <c r="G429" s="31" t="s">
        <v>722</v>
      </c>
      <c r="H429" t="s">
        <v>342</v>
      </c>
    </row>
    <row r="430" spans="1:8">
      <c r="A430" s="29">
        <v>5222</v>
      </c>
      <c r="B430" s="30" t="s">
        <v>1440</v>
      </c>
      <c r="C430" s="31" t="s">
        <v>1441</v>
      </c>
      <c r="D430" s="32">
        <v>10</v>
      </c>
      <c r="E430" s="31" t="s">
        <v>454</v>
      </c>
      <c r="F430" s="33">
        <v>101</v>
      </c>
      <c r="G430" s="31" t="s">
        <v>722</v>
      </c>
      <c r="H430" t="s">
        <v>342</v>
      </c>
    </row>
    <row r="431" spans="1:8">
      <c r="A431" s="29">
        <v>5223</v>
      </c>
      <c r="B431" s="30" t="s">
        <v>1442</v>
      </c>
      <c r="C431" s="31" t="s">
        <v>1443</v>
      </c>
      <c r="D431" s="32">
        <v>97</v>
      </c>
      <c r="E431" s="31" t="s">
        <v>663</v>
      </c>
      <c r="F431" s="33">
        <v>1908</v>
      </c>
      <c r="G431" s="31" t="s">
        <v>1437</v>
      </c>
      <c r="H431" t="s">
        <v>117</v>
      </c>
    </row>
    <row r="432" spans="1:8">
      <c r="A432" s="29">
        <v>5223</v>
      </c>
      <c r="B432" s="30" t="s">
        <v>1442</v>
      </c>
      <c r="C432" s="31" t="s">
        <v>1443</v>
      </c>
      <c r="D432" s="32">
        <v>127</v>
      </c>
      <c r="E432" s="31" t="s">
        <v>767</v>
      </c>
      <c r="F432" s="33">
        <v>1908</v>
      </c>
      <c r="G432" s="31" t="s">
        <v>1437</v>
      </c>
      <c r="H432" t="s">
        <v>117</v>
      </c>
    </row>
    <row r="433" spans="1:8">
      <c r="A433" s="29">
        <v>5226</v>
      </c>
      <c r="B433" s="30" t="s">
        <v>1444</v>
      </c>
      <c r="C433" s="31" t="s">
        <v>1445</v>
      </c>
      <c r="D433" s="32">
        <v>10</v>
      </c>
      <c r="E433" s="31" t="s">
        <v>454</v>
      </c>
      <c r="F433" s="33">
        <v>101</v>
      </c>
      <c r="G433" s="31" t="s">
        <v>722</v>
      </c>
      <c r="H433" t="s">
        <v>342</v>
      </c>
    </row>
    <row r="434" spans="1:8">
      <c r="A434" s="29">
        <v>5226</v>
      </c>
      <c r="B434" s="30" t="s">
        <v>1444</v>
      </c>
      <c r="C434" s="31" t="s">
        <v>1445</v>
      </c>
      <c r="D434" s="32">
        <v>40</v>
      </c>
      <c r="E434" s="31" t="s">
        <v>344</v>
      </c>
      <c r="F434" s="33">
        <v>101</v>
      </c>
      <c r="G434" s="31" t="s">
        <v>722</v>
      </c>
      <c r="H434" t="s">
        <v>342</v>
      </c>
    </row>
    <row r="435" spans="1:8">
      <c r="A435" s="29">
        <v>5226</v>
      </c>
      <c r="B435" s="30" t="s">
        <v>1444</v>
      </c>
      <c r="C435" s="31" t="s">
        <v>1445</v>
      </c>
      <c r="D435" s="32">
        <v>182</v>
      </c>
      <c r="E435" s="31" t="s">
        <v>870</v>
      </c>
      <c r="F435" s="33">
        <v>101</v>
      </c>
      <c r="G435" s="31" t="s">
        <v>722</v>
      </c>
      <c r="H435" t="s">
        <v>342</v>
      </c>
    </row>
    <row r="436" spans="1:8">
      <c r="A436" s="29">
        <v>5226</v>
      </c>
      <c r="B436" s="30" t="s">
        <v>1444</v>
      </c>
      <c r="C436" s="31" t="s">
        <v>1445</v>
      </c>
      <c r="D436" s="32">
        <v>206</v>
      </c>
      <c r="E436" s="31" t="s">
        <v>1446</v>
      </c>
      <c r="F436" s="33">
        <v>101</v>
      </c>
      <c r="G436" s="31" t="s">
        <v>722</v>
      </c>
      <c r="H436" t="s">
        <v>342</v>
      </c>
    </row>
    <row r="437" spans="1:8">
      <c r="A437" s="29">
        <v>5226</v>
      </c>
      <c r="B437" s="30" t="s">
        <v>1444</v>
      </c>
      <c r="C437" s="31" t="s">
        <v>1445</v>
      </c>
      <c r="D437" s="32">
        <v>207</v>
      </c>
      <c r="E437" s="31" t="s">
        <v>1447</v>
      </c>
      <c r="F437" s="33">
        <v>101</v>
      </c>
      <c r="G437" s="31" t="s">
        <v>722</v>
      </c>
      <c r="H437" t="s">
        <v>342</v>
      </c>
    </row>
    <row r="438" spans="1:8">
      <c r="A438" s="29">
        <v>5227</v>
      </c>
      <c r="B438" s="30" t="s">
        <v>1448</v>
      </c>
      <c r="C438" s="31" t="s">
        <v>746</v>
      </c>
      <c r="D438" s="32">
        <v>10</v>
      </c>
      <c r="E438" s="31" t="s">
        <v>454</v>
      </c>
      <c r="F438" s="33">
        <v>101</v>
      </c>
      <c r="G438" s="31" t="s">
        <v>722</v>
      </c>
      <c r="H438" t="s">
        <v>342</v>
      </c>
    </row>
    <row r="439" spans="1:8">
      <c r="A439" s="29">
        <v>5228</v>
      </c>
      <c r="B439" s="30" t="s">
        <v>1449</v>
      </c>
      <c r="C439" s="31" t="s">
        <v>1450</v>
      </c>
      <c r="D439" s="32">
        <v>10</v>
      </c>
      <c r="E439" s="31" t="s">
        <v>454</v>
      </c>
      <c r="F439" s="33">
        <v>101</v>
      </c>
      <c r="G439" s="31" t="s">
        <v>722</v>
      </c>
      <c r="H439" t="s">
        <v>342</v>
      </c>
    </row>
    <row r="440" spans="1:8">
      <c r="A440" s="29">
        <v>5228</v>
      </c>
      <c r="B440" s="30" t="s">
        <v>1449</v>
      </c>
      <c r="C440" s="31" t="s">
        <v>1450</v>
      </c>
      <c r="D440" s="32">
        <v>181</v>
      </c>
      <c r="E440" s="31" t="s">
        <v>869</v>
      </c>
      <c r="F440" s="33">
        <v>101</v>
      </c>
      <c r="G440" s="31" t="s">
        <v>722</v>
      </c>
      <c r="H440" t="s">
        <v>342</v>
      </c>
    </row>
    <row r="441" spans="1:8">
      <c r="A441" s="29">
        <v>5228</v>
      </c>
      <c r="B441" s="30" t="s">
        <v>1449</v>
      </c>
      <c r="C441" s="31" t="s">
        <v>1450</v>
      </c>
      <c r="D441" s="32">
        <v>182</v>
      </c>
      <c r="E441" s="31" t="s">
        <v>870</v>
      </c>
      <c r="F441" s="33">
        <v>101</v>
      </c>
      <c r="G441" s="31" t="s">
        <v>722</v>
      </c>
      <c r="H441" t="s">
        <v>342</v>
      </c>
    </row>
    <row r="442" spans="1:8">
      <c r="A442" s="29">
        <v>5230</v>
      </c>
      <c r="B442" s="30" t="s">
        <v>1451</v>
      </c>
      <c r="C442" s="31" t="s">
        <v>1452</v>
      </c>
      <c r="D442" s="32">
        <v>10</v>
      </c>
      <c r="E442" s="31" t="s">
        <v>454</v>
      </c>
      <c r="F442" s="33">
        <v>101</v>
      </c>
      <c r="G442" s="31" t="s">
        <v>722</v>
      </c>
      <c r="H442" t="s">
        <v>342</v>
      </c>
    </row>
    <row r="443" spans="1:8">
      <c r="A443" s="29">
        <v>5237</v>
      </c>
      <c r="B443" s="30" t="s">
        <v>1453</v>
      </c>
      <c r="C443" s="31" t="s">
        <v>1454</v>
      </c>
      <c r="D443" s="32">
        <v>10</v>
      </c>
      <c r="E443" s="31" t="s">
        <v>454</v>
      </c>
      <c r="F443" s="33">
        <v>101</v>
      </c>
      <c r="G443" s="31" t="s">
        <v>722</v>
      </c>
      <c r="H443" t="s">
        <v>342</v>
      </c>
    </row>
    <row r="444" spans="1:8">
      <c r="A444" s="29">
        <v>5240</v>
      </c>
      <c r="B444" s="30" t="s">
        <v>1455</v>
      </c>
      <c r="C444" s="31" t="s">
        <v>1456</v>
      </c>
      <c r="D444" s="32">
        <v>10</v>
      </c>
      <c r="E444" s="31" t="s">
        <v>454</v>
      </c>
      <c r="F444" s="33">
        <v>101</v>
      </c>
      <c r="G444" s="31" t="s">
        <v>722</v>
      </c>
      <c r="H444" t="s">
        <v>342</v>
      </c>
    </row>
    <row r="445" spans="1:8">
      <c r="A445" s="29">
        <v>5244</v>
      </c>
      <c r="B445" s="30" t="s">
        <v>1457</v>
      </c>
      <c r="C445" s="31" t="s">
        <v>1458</v>
      </c>
      <c r="D445" s="32">
        <v>10</v>
      </c>
      <c r="E445" s="31" t="s">
        <v>454</v>
      </c>
      <c r="F445" s="33">
        <v>101</v>
      </c>
      <c r="G445" s="31" t="s">
        <v>722</v>
      </c>
      <c r="H445" t="s">
        <v>342</v>
      </c>
    </row>
    <row r="446" spans="1:8">
      <c r="A446" s="29">
        <v>5247</v>
      </c>
      <c r="B446" s="30" t="s">
        <v>1459</v>
      </c>
      <c r="C446" s="31" t="s">
        <v>1460</v>
      </c>
      <c r="D446" s="32">
        <v>10</v>
      </c>
      <c r="E446" s="31" t="s">
        <v>454</v>
      </c>
      <c r="F446" s="33">
        <v>101</v>
      </c>
      <c r="G446" s="31" t="s">
        <v>722</v>
      </c>
      <c r="H446" t="s">
        <v>342</v>
      </c>
    </row>
    <row r="447" spans="1:8">
      <c r="A447" s="29">
        <v>5252</v>
      </c>
      <c r="B447" s="30" t="s">
        <v>1461</v>
      </c>
      <c r="C447" s="31" t="s">
        <v>1462</v>
      </c>
      <c r="D447" s="32">
        <v>10</v>
      </c>
      <c r="E447" s="31" t="s">
        <v>454</v>
      </c>
      <c r="F447" s="33">
        <v>101</v>
      </c>
      <c r="G447" s="31" t="s">
        <v>722</v>
      </c>
      <c r="H447" t="s">
        <v>342</v>
      </c>
    </row>
    <row r="448" spans="1:8">
      <c r="A448" s="29">
        <v>5253</v>
      </c>
      <c r="B448" s="30" t="s">
        <v>1463</v>
      </c>
      <c r="C448" s="31" t="s">
        <v>1464</v>
      </c>
      <c r="D448" s="32">
        <v>10</v>
      </c>
      <c r="E448" s="31" t="s">
        <v>454</v>
      </c>
      <c r="F448" s="33">
        <v>101</v>
      </c>
      <c r="G448" s="31" t="s">
        <v>722</v>
      </c>
      <c r="H448" t="s">
        <v>342</v>
      </c>
    </row>
    <row r="449" spans="1:8">
      <c r="A449" s="29">
        <v>5255</v>
      </c>
      <c r="B449" s="30" t="s">
        <v>1465</v>
      </c>
      <c r="C449" s="31" t="s">
        <v>1466</v>
      </c>
      <c r="D449" s="32">
        <v>40</v>
      </c>
      <c r="E449" s="31" t="s">
        <v>344</v>
      </c>
      <c r="F449" s="33">
        <v>1551</v>
      </c>
      <c r="G449" s="31" t="s">
        <v>519</v>
      </c>
      <c r="H449" t="s">
        <v>342</v>
      </c>
    </row>
    <row r="450" spans="1:8">
      <c r="A450" s="29">
        <v>5257</v>
      </c>
      <c r="B450" s="30" t="s">
        <v>1467</v>
      </c>
      <c r="C450" s="31" t="s">
        <v>1468</v>
      </c>
      <c r="D450" s="32">
        <v>10</v>
      </c>
      <c r="E450" s="31" t="s">
        <v>454</v>
      </c>
      <c r="F450" s="33">
        <v>101</v>
      </c>
      <c r="G450" s="31" t="s">
        <v>722</v>
      </c>
      <c r="H450" t="s">
        <v>342</v>
      </c>
    </row>
    <row r="451" spans="1:8">
      <c r="A451" s="29">
        <v>5258</v>
      </c>
      <c r="B451" s="30" t="s">
        <v>1469</v>
      </c>
      <c r="C451" s="31" t="s">
        <v>1470</v>
      </c>
      <c r="D451" s="32">
        <v>10</v>
      </c>
      <c r="E451" s="31" t="s">
        <v>454</v>
      </c>
      <c r="F451" s="33">
        <v>101</v>
      </c>
      <c r="G451" s="31" t="s">
        <v>722</v>
      </c>
      <c r="H451" t="s">
        <v>342</v>
      </c>
    </row>
    <row r="452" spans="1:8">
      <c r="A452" s="29">
        <v>5259</v>
      </c>
      <c r="B452" s="30" t="s">
        <v>1471</v>
      </c>
      <c r="C452" s="31" t="s">
        <v>1472</v>
      </c>
      <c r="D452" s="32">
        <v>10</v>
      </c>
      <c r="E452" s="31" t="s">
        <v>454</v>
      </c>
      <c r="F452" s="33">
        <v>101</v>
      </c>
      <c r="G452" s="31" t="s">
        <v>722</v>
      </c>
      <c r="H452" t="s">
        <v>342</v>
      </c>
    </row>
    <row r="453" spans="1:8">
      <c r="A453" s="29">
        <v>5260</v>
      </c>
      <c r="B453" s="30" t="s">
        <v>1473</v>
      </c>
      <c r="C453" s="31" t="s">
        <v>1474</v>
      </c>
      <c r="D453" s="32">
        <v>10</v>
      </c>
      <c r="E453" s="31" t="s">
        <v>454</v>
      </c>
      <c r="F453" s="33">
        <v>101</v>
      </c>
      <c r="G453" s="31" t="s">
        <v>722</v>
      </c>
      <c r="H453" t="s">
        <v>342</v>
      </c>
    </row>
    <row r="454" spans="1:8">
      <c r="A454" s="29">
        <v>5260</v>
      </c>
      <c r="B454" s="30" t="s">
        <v>1473</v>
      </c>
      <c r="C454" s="31" t="s">
        <v>1474</v>
      </c>
      <c r="D454" s="32">
        <v>181</v>
      </c>
      <c r="E454" s="31" t="s">
        <v>869</v>
      </c>
      <c r="F454" s="33">
        <v>101</v>
      </c>
      <c r="G454" s="31" t="s">
        <v>722</v>
      </c>
      <c r="H454" t="s">
        <v>342</v>
      </c>
    </row>
    <row r="455" spans="1:8">
      <c r="A455" s="29">
        <v>5260</v>
      </c>
      <c r="B455" s="30" t="s">
        <v>1473</v>
      </c>
      <c r="C455" s="31" t="s">
        <v>1474</v>
      </c>
      <c r="D455" s="32">
        <v>182</v>
      </c>
      <c r="E455" s="31" t="s">
        <v>870</v>
      </c>
      <c r="F455" s="33">
        <v>101</v>
      </c>
      <c r="G455" s="31" t="s">
        <v>722</v>
      </c>
      <c r="H455" t="s">
        <v>342</v>
      </c>
    </row>
    <row r="456" spans="1:8">
      <c r="A456" s="29">
        <v>5261</v>
      </c>
      <c r="B456" s="30" t="s">
        <v>1475</v>
      </c>
      <c r="C456" s="31" t="s">
        <v>1476</v>
      </c>
      <c r="D456" s="32">
        <v>85</v>
      </c>
      <c r="E456" s="31" t="s">
        <v>638</v>
      </c>
      <c r="F456" s="33">
        <v>1817</v>
      </c>
      <c r="G456" s="31" t="s">
        <v>1477</v>
      </c>
      <c r="H456" t="s">
        <v>118</v>
      </c>
    </row>
    <row r="457" spans="1:8">
      <c r="A457" s="29">
        <v>5265</v>
      </c>
      <c r="B457" s="30" t="s">
        <v>1478</v>
      </c>
      <c r="C457" s="31" t="s">
        <v>1479</v>
      </c>
      <c r="D457" s="32">
        <v>10</v>
      </c>
      <c r="E457" s="31" t="s">
        <v>454</v>
      </c>
      <c r="F457" s="33">
        <v>101</v>
      </c>
      <c r="G457" s="31" t="s">
        <v>722</v>
      </c>
      <c r="H457" t="s">
        <v>342</v>
      </c>
    </row>
    <row r="458" spans="1:8">
      <c r="A458" s="29">
        <v>5266</v>
      </c>
      <c r="B458" s="30" t="s">
        <v>1480</v>
      </c>
      <c r="C458" s="31" t="s">
        <v>1481</v>
      </c>
      <c r="D458" s="32">
        <v>10</v>
      </c>
      <c r="E458" s="31" t="s">
        <v>454</v>
      </c>
      <c r="F458" s="33">
        <v>101</v>
      </c>
      <c r="G458" s="31" t="s">
        <v>722</v>
      </c>
      <c r="H458" t="s">
        <v>342</v>
      </c>
    </row>
    <row r="459" spans="1:8">
      <c r="A459" s="29">
        <v>5267</v>
      </c>
      <c r="B459" s="30" t="s">
        <v>1482</v>
      </c>
      <c r="C459" s="31" t="s">
        <v>1483</v>
      </c>
      <c r="D459" s="32">
        <v>10</v>
      </c>
      <c r="E459" s="31" t="s">
        <v>454</v>
      </c>
      <c r="F459" s="33">
        <v>101</v>
      </c>
      <c r="G459" s="31" t="s">
        <v>722</v>
      </c>
      <c r="H459" t="s">
        <v>342</v>
      </c>
    </row>
    <row r="460" spans="1:8">
      <c r="A460" s="29">
        <v>5268</v>
      </c>
      <c r="B460" s="30" t="s">
        <v>1484</v>
      </c>
      <c r="C460" s="31" t="s">
        <v>602</v>
      </c>
      <c r="D460" s="32">
        <v>52</v>
      </c>
      <c r="E460" s="31" t="s">
        <v>603</v>
      </c>
      <c r="F460" s="33">
        <v>1936</v>
      </c>
      <c r="G460" s="31" t="s">
        <v>1485</v>
      </c>
      <c r="H460" t="s">
        <v>118</v>
      </c>
    </row>
    <row r="461" spans="1:8">
      <c r="A461" s="29">
        <v>5269</v>
      </c>
      <c r="B461" s="30" t="s">
        <v>1486</v>
      </c>
      <c r="C461" s="31" t="s">
        <v>602</v>
      </c>
      <c r="D461" s="32">
        <v>52</v>
      </c>
      <c r="E461" s="31" t="s">
        <v>603</v>
      </c>
      <c r="F461" s="33">
        <v>1936</v>
      </c>
      <c r="G461" s="31" t="s">
        <v>1485</v>
      </c>
      <c r="H461" t="s">
        <v>118</v>
      </c>
    </row>
    <row r="462" spans="1:8">
      <c r="A462" s="29">
        <v>5270</v>
      </c>
      <c r="B462" s="30" t="s">
        <v>1487</v>
      </c>
      <c r="C462" s="31" t="s">
        <v>1488</v>
      </c>
      <c r="D462" s="32">
        <v>1679</v>
      </c>
      <c r="E462" s="31" t="s">
        <v>1489</v>
      </c>
      <c r="F462" s="33">
        <v>1679</v>
      </c>
      <c r="G462" s="31" t="s">
        <v>660</v>
      </c>
      <c r="H462" t="s">
        <v>118</v>
      </c>
    </row>
    <row r="463" spans="1:8">
      <c r="A463" s="29">
        <v>5271</v>
      </c>
      <c r="B463" s="30" t="s">
        <v>1490</v>
      </c>
      <c r="C463" s="31" t="s">
        <v>1491</v>
      </c>
      <c r="D463" s="32">
        <v>10</v>
      </c>
      <c r="E463" s="31" t="s">
        <v>454</v>
      </c>
      <c r="F463" s="33">
        <v>101</v>
      </c>
      <c r="G463" s="31" t="s">
        <v>722</v>
      </c>
      <c r="H463" t="s">
        <v>342</v>
      </c>
    </row>
    <row r="464" spans="1:8">
      <c r="A464" s="29">
        <v>5272</v>
      </c>
      <c r="B464" s="30" t="s">
        <v>1492</v>
      </c>
      <c r="C464" s="31" t="s">
        <v>1493</v>
      </c>
      <c r="D464" s="32">
        <v>10</v>
      </c>
      <c r="E464" s="31" t="s">
        <v>454</v>
      </c>
      <c r="F464" s="33">
        <v>101</v>
      </c>
      <c r="G464" s="31" t="s">
        <v>722</v>
      </c>
      <c r="H464" t="s">
        <v>342</v>
      </c>
    </row>
    <row r="465" spans="1:8">
      <c r="A465" s="29">
        <v>5273</v>
      </c>
      <c r="B465" s="30" t="s">
        <v>1494</v>
      </c>
      <c r="C465" s="31" t="s">
        <v>1495</v>
      </c>
      <c r="D465" s="32">
        <v>40</v>
      </c>
      <c r="E465" s="31" t="s">
        <v>344</v>
      </c>
      <c r="F465" s="33">
        <v>1524</v>
      </c>
      <c r="G465" s="31" t="s">
        <v>749</v>
      </c>
      <c r="H465" t="s">
        <v>342</v>
      </c>
    </row>
    <row r="466" spans="1:8">
      <c r="A466" s="29">
        <v>5274</v>
      </c>
      <c r="B466" s="30" t="s">
        <v>1496</v>
      </c>
      <c r="C466" s="31" t="s">
        <v>1497</v>
      </c>
      <c r="D466" s="32">
        <v>10</v>
      </c>
      <c r="E466" s="31" t="s">
        <v>454</v>
      </c>
      <c r="F466" s="33">
        <v>101</v>
      </c>
      <c r="G466" s="31" t="s">
        <v>722</v>
      </c>
      <c r="H466" t="s">
        <v>342</v>
      </c>
    </row>
    <row r="467" spans="1:8">
      <c r="A467" s="29">
        <v>5275</v>
      </c>
      <c r="B467" s="30" t="s">
        <v>1498</v>
      </c>
      <c r="C467" s="31" t="s">
        <v>1499</v>
      </c>
      <c r="D467" s="32">
        <v>10</v>
      </c>
      <c r="E467" s="31" t="s">
        <v>454</v>
      </c>
      <c r="F467" s="33">
        <v>101</v>
      </c>
      <c r="G467" s="31" t="s">
        <v>722</v>
      </c>
      <c r="H467" t="s">
        <v>342</v>
      </c>
    </row>
    <row r="468" spans="1:8">
      <c r="A468" s="29">
        <v>5276</v>
      </c>
      <c r="B468" s="30" t="s">
        <v>1500</v>
      </c>
      <c r="C468" s="31" t="s">
        <v>476</v>
      </c>
      <c r="D468" s="32">
        <v>14</v>
      </c>
      <c r="E468" s="31" t="s">
        <v>477</v>
      </c>
      <c r="F468" s="33">
        <v>1564</v>
      </c>
      <c r="G468" s="31" t="s">
        <v>1501</v>
      </c>
      <c r="H468" t="s">
        <v>118</v>
      </c>
    </row>
    <row r="469" spans="1:8">
      <c r="A469" s="29">
        <v>5294</v>
      </c>
      <c r="B469" s="30" t="s">
        <v>1502</v>
      </c>
      <c r="C469" s="31" t="s">
        <v>1503</v>
      </c>
      <c r="D469" s="32">
        <v>10</v>
      </c>
      <c r="E469" s="31" t="s">
        <v>454</v>
      </c>
      <c r="F469" s="33">
        <v>101</v>
      </c>
      <c r="G469" s="31" t="s">
        <v>722</v>
      </c>
      <c r="H469" t="s">
        <v>342</v>
      </c>
    </row>
    <row r="470" spans="1:8">
      <c r="A470" s="29">
        <v>5297</v>
      </c>
      <c r="B470" s="30" t="s">
        <v>1504</v>
      </c>
      <c r="C470" s="31" t="s">
        <v>476</v>
      </c>
      <c r="D470" s="32">
        <v>505</v>
      </c>
      <c r="E470" s="31" t="s">
        <v>1505</v>
      </c>
      <c r="F470" s="33">
        <v>1666</v>
      </c>
      <c r="G470" s="31" t="s">
        <v>478</v>
      </c>
      <c r="H470" t="s">
        <v>118</v>
      </c>
    </row>
    <row r="471" spans="1:8">
      <c r="A471" s="29">
        <v>5298</v>
      </c>
      <c r="B471" s="30" t="s">
        <v>34</v>
      </c>
      <c r="C471" s="31" t="s">
        <v>1506</v>
      </c>
      <c r="D471" s="32">
        <v>10</v>
      </c>
      <c r="E471" s="31" t="s">
        <v>454</v>
      </c>
      <c r="F471" s="33">
        <v>101</v>
      </c>
      <c r="G471" s="31" t="s">
        <v>722</v>
      </c>
      <c r="H471" t="s">
        <v>342</v>
      </c>
    </row>
    <row r="472" spans="1:8">
      <c r="A472" s="29">
        <v>5301</v>
      </c>
      <c r="B472" s="30" t="s">
        <v>1507</v>
      </c>
      <c r="C472" s="31" t="s">
        <v>1508</v>
      </c>
      <c r="D472" s="32">
        <v>114</v>
      </c>
      <c r="E472" s="31" t="s">
        <v>757</v>
      </c>
      <c r="F472" s="33">
        <v>1940</v>
      </c>
      <c r="G472" s="31" t="s">
        <v>1509</v>
      </c>
      <c r="H472" t="s">
        <v>117</v>
      </c>
    </row>
    <row r="473" spans="1:8">
      <c r="A473" s="29">
        <v>5308</v>
      </c>
      <c r="B473" s="30" t="s">
        <v>1510</v>
      </c>
      <c r="C473" s="31" t="s">
        <v>1511</v>
      </c>
      <c r="D473" s="32">
        <v>10</v>
      </c>
      <c r="E473" s="31" t="s">
        <v>454</v>
      </c>
      <c r="F473" s="33">
        <v>801</v>
      </c>
      <c r="G473" s="31" t="s">
        <v>453</v>
      </c>
      <c r="H473" t="s">
        <v>342</v>
      </c>
    </row>
    <row r="474" spans="1:8">
      <c r="A474" s="29">
        <v>5309</v>
      </c>
      <c r="B474" s="30" t="s">
        <v>496</v>
      </c>
      <c r="C474" s="31" t="s">
        <v>1512</v>
      </c>
      <c r="D474" s="32">
        <v>28</v>
      </c>
      <c r="E474" s="31" t="s">
        <v>498</v>
      </c>
      <c r="F474" s="33">
        <v>1555</v>
      </c>
      <c r="G474" s="31" t="s">
        <v>1513</v>
      </c>
      <c r="H474" t="s">
        <v>342</v>
      </c>
    </row>
    <row r="475" spans="1:8">
      <c r="A475" s="29">
        <v>6310</v>
      </c>
      <c r="B475" s="30" t="s">
        <v>1514</v>
      </c>
      <c r="C475" s="31" t="s">
        <v>1515</v>
      </c>
      <c r="D475" s="32">
        <v>6300</v>
      </c>
      <c r="E475" s="31" t="s">
        <v>1516</v>
      </c>
      <c r="F475" s="33">
        <v>6300</v>
      </c>
      <c r="G475" s="31" t="s">
        <v>1517</v>
      </c>
      <c r="H475" t="s">
        <v>1545</v>
      </c>
    </row>
    <row r="476" spans="1:8">
      <c r="A476" s="29">
        <v>6320</v>
      </c>
      <c r="B476" s="30" t="s">
        <v>1518</v>
      </c>
      <c r="C476" s="31" t="s">
        <v>1087</v>
      </c>
      <c r="D476" s="32">
        <v>6300</v>
      </c>
      <c r="E476" s="31" t="s">
        <v>1516</v>
      </c>
      <c r="F476" s="33">
        <v>6300</v>
      </c>
      <c r="G476" s="31" t="s">
        <v>1517</v>
      </c>
      <c r="H476" t="s">
        <v>1545</v>
      </c>
    </row>
    <row r="477" spans="1:8">
      <c r="A477" s="29">
        <v>6510</v>
      </c>
      <c r="B477" s="30" t="s">
        <v>1519</v>
      </c>
      <c r="C477" s="31" t="s">
        <v>1520</v>
      </c>
      <c r="D477" s="32">
        <v>6500</v>
      </c>
      <c r="E477" s="31" t="s">
        <v>1521</v>
      </c>
      <c r="F477" s="33">
        <v>6500</v>
      </c>
      <c r="G477" s="31" t="s">
        <v>1522</v>
      </c>
      <c r="H477" t="s">
        <v>1545</v>
      </c>
    </row>
    <row r="478" spans="1:8">
      <c r="A478" s="29">
        <v>6520</v>
      </c>
      <c r="B478" s="30" t="s">
        <v>1523</v>
      </c>
      <c r="C478" s="31" t="s">
        <v>1520</v>
      </c>
      <c r="D478" s="32">
        <v>6500</v>
      </c>
      <c r="E478" s="31" t="s">
        <v>1521</v>
      </c>
      <c r="F478" s="33">
        <v>6500</v>
      </c>
      <c r="G478" s="31" t="s">
        <v>1522</v>
      </c>
      <c r="H478" t="s">
        <v>1545</v>
      </c>
    </row>
    <row r="479" spans="1:8">
      <c r="A479" s="29">
        <v>6810</v>
      </c>
      <c r="B479" s="30" t="s">
        <v>1524</v>
      </c>
      <c r="C479" s="31" t="s">
        <v>1525</v>
      </c>
      <c r="D479" s="32">
        <v>6800</v>
      </c>
      <c r="E479" s="31" t="s">
        <v>1526</v>
      </c>
      <c r="F479" s="33">
        <v>6800</v>
      </c>
      <c r="G479" s="31" t="s">
        <v>1527</v>
      </c>
      <c r="H479" t="s">
        <v>1545</v>
      </c>
    </row>
    <row r="480" spans="1:8">
      <c r="A480" s="29">
        <v>6820</v>
      </c>
      <c r="B480" s="30" t="s">
        <v>1528</v>
      </c>
      <c r="C480" s="31" t="s">
        <v>1529</v>
      </c>
      <c r="D480" s="32">
        <v>6800</v>
      </c>
      <c r="E480" s="31" t="s">
        <v>1526</v>
      </c>
      <c r="F480" s="33">
        <v>6800</v>
      </c>
      <c r="G480" s="31" t="s">
        <v>1527</v>
      </c>
      <c r="H480" t="s">
        <v>1545</v>
      </c>
    </row>
    <row r="481" spans="1:8">
      <c r="A481" s="29">
        <v>103</v>
      </c>
      <c r="B481" s="30" t="s">
        <v>554</v>
      </c>
      <c r="C481" s="31" t="s">
        <v>555</v>
      </c>
      <c r="D481" s="32">
        <v>47</v>
      </c>
      <c r="E481" s="31" t="s">
        <v>1530</v>
      </c>
      <c r="F481" s="33">
        <v>1775</v>
      </c>
      <c r="G481" s="31" t="s">
        <v>557</v>
      </c>
      <c r="H481" t="s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68829-EA2C-4C17-A3A7-D6B35CEE8A60}">
  <sheetPr codeName="Sheet4"/>
  <dimension ref="A1:S169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9.85546875" customWidth="1"/>
    <col min="2" max="2" width="9.28515625" bestFit="1" customWidth="1"/>
    <col min="3" max="3" width="31.28515625" bestFit="1" customWidth="1"/>
    <col min="4" max="4" width="22.28515625" bestFit="1" customWidth="1"/>
    <col min="5" max="5" width="10.5703125" bestFit="1" customWidth="1"/>
    <col min="6" max="6" width="10.140625" bestFit="1" customWidth="1"/>
    <col min="7" max="7" width="9.140625" bestFit="1" customWidth="1"/>
    <col min="8" max="8" width="9.5703125" bestFit="1" customWidth="1"/>
    <col min="9" max="9" width="8.5703125" bestFit="1" customWidth="1"/>
    <col min="10" max="10" width="14" customWidth="1"/>
    <col min="11" max="11" width="11" customWidth="1"/>
  </cols>
  <sheetData>
    <row r="1" spans="1:19">
      <c r="A1" s="11" t="s">
        <v>31</v>
      </c>
      <c r="B1" s="11" t="s">
        <v>32</v>
      </c>
      <c r="C1" s="12" t="s">
        <v>155</v>
      </c>
      <c r="D1" s="12" t="s">
        <v>156</v>
      </c>
      <c r="E1" s="12" t="s">
        <v>341</v>
      </c>
      <c r="F1" s="12" t="s">
        <v>157</v>
      </c>
      <c r="G1" s="12" t="s">
        <v>158</v>
      </c>
      <c r="H1" s="12" t="s">
        <v>159</v>
      </c>
      <c r="I1" s="12" t="s">
        <v>160</v>
      </c>
      <c r="J1" s="11" t="s">
        <v>161</v>
      </c>
      <c r="K1" s="11" t="s">
        <v>162</v>
      </c>
    </row>
    <row r="2" spans="1:19">
      <c r="A2" s="16" t="s">
        <v>342</v>
      </c>
      <c r="B2" s="14" t="s">
        <v>366</v>
      </c>
      <c r="C2" s="16" t="s">
        <v>135</v>
      </c>
      <c r="D2" s="16" t="s">
        <v>361</v>
      </c>
      <c r="E2" s="16"/>
      <c r="F2" s="17">
        <v>801</v>
      </c>
      <c r="G2" s="17">
        <v>10</v>
      </c>
      <c r="H2" s="17">
        <v>8</v>
      </c>
      <c r="I2" s="14" t="s">
        <v>292</v>
      </c>
      <c r="J2" s="14">
        <v>801029469</v>
      </c>
      <c r="K2" s="16">
        <v>102089</v>
      </c>
      <c r="L2" t="s">
        <v>123</v>
      </c>
      <c r="N2" t="str" cm="1">
        <f t="array" ref="N2:N5">_xlfn._xlws.SORT(_xlfn.UNIQUE(A2:A169),1,1)</f>
        <v>APAC</v>
      </c>
      <c r="P2" t="e" cm="1" vm="1">
        <f t="array" ref="P2">_xlfn._xlws.SORT(_xlfn._xlws.FILTER(K2:K169&amp;" - "&amp;C2:C169, A2:A169 = 'PO CREATION FORM'!$B$2),1,1)</f>
        <v>#VALUE!</v>
      </c>
      <c r="S2" t="e" cm="1" vm="1">
        <f t="array" ref="S2">_xlfn._xlws.SORT(_xlfn._xlws.FILTER(K2:K169, A2:A169 = 'PO CREATION FORM'!$B$2),1,1)</f>
        <v>#VALUE!</v>
      </c>
    </row>
    <row r="3" spans="1:19">
      <c r="A3" s="16" t="s">
        <v>342</v>
      </c>
      <c r="B3" s="14" t="s">
        <v>366</v>
      </c>
      <c r="C3" s="16" t="s">
        <v>132</v>
      </c>
      <c r="D3" s="16" t="s">
        <v>361</v>
      </c>
      <c r="E3" s="16"/>
      <c r="F3" s="17">
        <v>801</v>
      </c>
      <c r="G3" s="17">
        <v>10</v>
      </c>
      <c r="H3" s="17">
        <v>8</v>
      </c>
      <c r="I3" s="14" t="s">
        <v>292</v>
      </c>
      <c r="J3" s="14">
        <v>801009372</v>
      </c>
      <c r="K3" s="16">
        <v>101911</v>
      </c>
      <c r="L3" t="s">
        <v>123</v>
      </c>
      <c r="N3" t="str">
        <v>EMEA</v>
      </c>
    </row>
    <row r="4" spans="1:19">
      <c r="A4" s="14" t="s">
        <v>342</v>
      </c>
      <c r="B4" s="14" t="s">
        <v>366</v>
      </c>
      <c r="C4" s="16" t="s">
        <v>130</v>
      </c>
      <c r="D4" s="16" t="s">
        <v>361</v>
      </c>
      <c r="E4" s="16"/>
      <c r="F4" s="17">
        <v>801</v>
      </c>
      <c r="G4" s="17">
        <v>10</v>
      </c>
      <c r="H4" s="17">
        <v>8</v>
      </c>
      <c r="I4" s="14" t="s">
        <v>292</v>
      </c>
      <c r="J4" s="14">
        <v>801029371</v>
      </c>
      <c r="K4" s="16">
        <v>102055</v>
      </c>
      <c r="L4" t="s">
        <v>123</v>
      </c>
      <c r="N4" t="str">
        <v>LATAM</v>
      </c>
    </row>
    <row r="5" spans="1:19">
      <c r="A5" s="14" t="s">
        <v>342</v>
      </c>
      <c r="B5" s="14" t="s">
        <v>366</v>
      </c>
      <c r="C5" s="14" t="s">
        <v>124</v>
      </c>
      <c r="D5" s="14" t="s">
        <v>361</v>
      </c>
      <c r="E5" s="14"/>
      <c r="F5" s="17">
        <v>801</v>
      </c>
      <c r="G5" s="17"/>
      <c r="H5" s="17"/>
      <c r="I5" s="14" t="s">
        <v>292</v>
      </c>
      <c r="J5" s="14">
        <v>801165297</v>
      </c>
      <c r="K5" s="16">
        <v>165297</v>
      </c>
      <c r="L5" t="s">
        <v>123</v>
      </c>
      <c r="N5" t="str">
        <v>NA</v>
      </c>
    </row>
    <row r="6" spans="1:19">
      <c r="A6" s="16" t="s">
        <v>342</v>
      </c>
      <c r="B6" s="14" t="s">
        <v>366</v>
      </c>
      <c r="C6" s="16" t="s">
        <v>127</v>
      </c>
      <c r="D6" s="16" t="s">
        <v>361</v>
      </c>
      <c r="E6" s="16"/>
      <c r="F6" s="17">
        <v>801</v>
      </c>
      <c r="G6" s="17">
        <v>10</v>
      </c>
      <c r="H6" s="17">
        <v>8</v>
      </c>
      <c r="I6" s="14" t="s">
        <v>292</v>
      </c>
      <c r="J6" s="14">
        <v>801009332</v>
      </c>
      <c r="K6" s="16">
        <v>101901</v>
      </c>
      <c r="L6" t="s">
        <v>123</v>
      </c>
    </row>
    <row r="7" spans="1:19">
      <c r="A7" s="14" t="s">
        <v>342</v>
      </c>
      <c r="B7" s="14" t="s">
        <v>366</v>
      </c>
      <c r="C7" s="16" t="s">
        <v>122</v>
      </c>
      <c r="D7" s="16" t="s">
        <v>361</v>
      </c>
      <c r="E7" s="16"/>
      <c r="F7" s="17">
        <v>801</v>
      </c>
      <c r="G7" s="17">
        <v>10</v>
      </c>
      <c r="H7" s="17">
        <v>8</v>
      </c>
      <c r="I7" s="14" t="s">
        <v>292</v>
      </c>
      <c r="J7" s="14">
        <v>801000044</v>
      </c>
      <c r="K7" s="16">
        <v>101713</v>
      </c>
      <c r="L7" t="s">
        <v>123</v>
      </c>
    </row>
    <row r="8" spans="1:19">
      <c r="A8" s="14" t="s">
        <v>342</v>
      </c>
      <c r="B8" s="14" t="s">
        <v>366</v>
      </c>
      <c r="C8" s="16" t="s">
        <v>125</v>
      </c>
      <c r="D8" s="16" t="s">
        <v>361</v>
      </c>
      <c r="E8" s="16"/>
      <c r="F8" s="17">
        <v>801</v>
      </c>
      <c r="G8" s="17">
        <v>10</v>
      </c>
      <c r="H8" s="17">
        <v>8</v>
      </c>
      <c r="I8" s="14" t="s">
        <v>292</v>
      </c>
      <c r="J8" s="14">
        <v>801009141</v>
      </c>
      <c r="K8" s="16">
        <v>101873</v>
      </c>
      <c r="L8" t="s">
        <v>123</v>
      </c>
    </row>
    <row r="9" spans="1:19">
      <c r="A9" s="16" t="s">
        <v>342</v>
      </c>
      <c r="B9" s="14" t="s">
        <v>366</v>
      </c>
      <c r="C9" s="16" t="s">
        <v>133</v>
      </c>
      <c r="D9" s="16" t="s">
        <v>361</v>
      </c>
      <c r="E9" s="16"/>
      <c r="F9" s="17">
        <v>801</v>
      </c>
      <c r="G9" s="17">
        <v>10</v>
      </c>
      <c r="H9" s="17">
        <v>8</v>
      </c>
      <c r="I9" s="14" t="s">
        <v>292</v>
      </c>
      <c r="J9" s="14">
        <v>801009374</v>
      </c>
      <c r="K9" s="16">
        <v>101912</v>
      </c>
      <c r="L9" t="s">
        <v>123</v>
      </c>
    </row>
    <row r="10" spans="1:19">
      <c r="A10" s="14" t="s">
        <v>342</v>
      </c>
      <c r="B10" s="14" t="s">
        <v>366</v>
      </c>
      <c r="C10" s="16" t="s">
        <v>128</v>
      </c>
      <c r="D10" s="16" t="s">
        <v>361</v>
      </c>
      <c r="E10" s="16"/>
      <c r="F10" s="17">
        <v>801</v>
      </c>
      <c r="G10" s="17">
        <v>10</v>
      </c>
      <c r="H10" s="17">
        <v>8</v>
      </c>
      <c r="I10" s="14" t="s">
        <v>292</v>
      </c>
      <c r="J10" s="14">
        <v>801000032</v>
      </c>
      <c r="K10" s="16">
        <v>101711</v>
      </c>
      <c r="L10" t="s">
        <v>123</v>
      </c>
    </row>
    <row r="11" spans="1:19">
      <c r="A11" s="14" t="s">
        <v>342</v>
      </c>
      <c r="B11" s="14" t="s">
        <v>366</v>
      </c>
      <c r="C11" s="16" t="s">
        <v>136</v>
      </c>
      <c r="D11" s="16" t="s">
        <v>361</v>
      </c>
      <c r="E11" s="16"/>
      <c r="F11" s="17">
        <v>801</v>
      </c>
      <c r="G11" s="17">
        <v>10</v>
      </c>
      <c r="H11" s="17">
        <v>8</v>
      </c>
      <c r="I11" s="14" t="s">
        <v>292</v>
      </c>
      <c r="J11" s="14">
        <v>801000081</v>
      </c>
      <c r="K11" s="16">
        <v>101726</v>
      </c>
      <c r="L11" t="s">
        <v>123</v>
      </c>
    </row>
    <row r="12" spans="1:19">
      <c r="A12" s="14" t="s">
        <v>342</v>
      </c>
      <c r="B12" s="14" t="s">
        <v>366</v>
      </c>
      <c r="C12" s="16" t="s">
        <v>134</v>
      </c>
      <c r="D12" s="16" t="s">
        <v>361</v>
      </c>
      <c r="E12" s="16"/>
      <c r="F12" s="17">
        <v>801</v>
      </c>
      <c r="G12" s="17"/>
      <c r="H12" s="17"/>
      <c r="I12" s="14" t="s">
        <v>292</v>
      </c>
      <c r="J12" s="14">
        <v>801009140</v>
      </c>
      <c r="K12" s="16">
        <v>101872</v>
      </c>
      <c r="L12" t="s">
        <v>123</v>
      </c>
    </row>
    <row r="13" spans="1:19">
      <c r="A13" s="14" t="s">
        <v>342</v>
      </c>
      <c r="B13" s="14" t="s">
        <v>366</v>
      </c>
      <c r="C13" s="16" t="s">
        <v>131</v>
      </c>
      <c r="D13" s="16" t="s">
        <v>361</v>
      </c>
      <c r="E13" s="16"/>
      <c r="F13" s="17">
        <v>801</v>
      </c>
      <c r="G13" s="17"/>
      <c r="H13" s="17"/>
      <c r="I13" s="14" t="s">
        <v>292</v>
      </c>
      <c r="J13" s="14">
        <v>801009052</v>
      </c>
      <c r="K13" s="16">
        <v>101859</v>
      </c>
      <c r="L13" t="s">
        <v>123</v>
      </c>
      <c r="N13" t="str" cm="1">
        <f t="array" ref="N13:N76">_xlfn._xlws.SORT(_xlfn.UNIQUE(I2:I155),1,1)</f>
        <v>AED</v>
      </c>
    </row>
    <row r="14" spans="1:19">
      <c r="A14" s="16" t="s">
        <v>342</v>
      </c>
      <c r="B14" s="14" t="s">
        <v>366</v>
      </c>
      <c r="C14" s="16" t="s">
        <v>137</v>
      </c>
      <c r="D14" s="16" t="s">
        <v>361</v>
      </c>
      <c r="E14" s="16"/>
      <c r="F14" s="17">
        <v>801</v>
      </c>
      <c r="G14" s="17">
        <v>10</v>
      </c>
      <c r="H14" s="17">
        <v>8</v>
      </c>
      <c r="I14" s="14" t="s">
        <v>292</v>
      </c>
      <c r="J14" s="14">
        <v>801029648</v>
      </c>
      <c r="K14" s="16">
        <v>102197</v>
      </c>
      <c r="L14" t="s">
        <v>123</v>
      </c>
      <c r="N14" t="str">
        <v>AOA</v>
      </c>
    </row>
    <row r="15" spans="1:19">
      <c r="A15" s="16" t="s">
        <v>342</v>
      </c>
      <c r="B15" s="14" t="s">
        <v>366</v>
      </c>
      <c r="C15" s="16" t="s">
        <v>126</v>
      </c>
      <c r="D15" s="16" t="s">
        <v>361</v>
      </c>
      <c r="E15" s="16"/>
      <c r="F15" s="17">
        <v>801</v>
      </c>
      <c r="G15" s="17">
        <v>10</v>
      </c>
      <c r="H15" s="17">
        <v>8</v>
      </c>
      <c r="I15" s="14" t="s">
        <v>292</v>
      </c>
      <c r="J15" s="14">
        <v>801009920</v>
      </c>
      <c r="K15" s="16">
        <v>101977</v>
      </c>
      <c r="L15" t="s">
        <v>123</v>
      </c>
      <c r="N15" t="str">
        <v>ARS</v>
      </c>
    </row>
    <row r="16" spans="1:19">
      <c r="A16" s="14" t="s">
        <v>342</v>
      </c>
      <c r="B16" s="14" t="s">
        <v>366</v>
      </c>
      <c r="C16" s="16" t="s">
        <v>129</v>
      </c>
      <c r="D16" s="16" t="s">
        <v>361</v>
      </c>
      <c r="E16" s="16"/>
      <c r="F16" s="17">
        <v>801</v>
      </c>
      <c r="G16" s="17">
        <v>10</v>
      </c>
      <c r="H16" s="17">
        <v>8</v>
      </c>
      <c r="I16" s="14" t="s">
        <v>292</v>
      </c>
      <c r="J16" s="14">
        <v>801006670</v>
      </c>
      <c r="K16" s="14">
        <v>101800</v>
      </c>
      <c r="L16" t="s">
        <v>123</v>
      </c>
      <c r="N16" t="str">
        <v>AUD</v>
      </c>
    </row>
    <row r="17" spans="1:14">
      <c r="A17" s="16" t="s">
        <v>342</v>
      </c>
      <c r="B17" s="14" t="s">
        <v>366</v>
      </c>
      <c r="C17" s="16" t="s">
        <v>138</v>
      </c>
      <c r="D17" s="16" t="s">
        <v>361</v>
      </c>
      <c r="E17" s="16"/>
      <c r="F17" s="17">
        <v>801</v>
      </c>
      <c r="G17" s="17">
        <v>10</v>
      </c>
      <c r="H17" s="17">
        <v>8</v>
      </c>
      <c r="I17" s="14" t="s">
        <v>292</v>
      </c>
      <c r="J17" s="14">
        <v>801009921</v>
      </c>
      <c r="K17" s="16">
        <v>101978</v>
      </c>
      <c r="L17" t="s">
        <v>123</v>
      </c>
      <c r="N17" t="str">
        <v>BAM</v>
      </c>
    </row>
    <row r="18" spans="1:14">
      <c r="A18" s="13" t="s">
        <v>117</v>
      </c>
      <c r="B18" s="14" t="s">
        <v>63</v>
      </c>
      <c r="C18" s="14" t="s">
        <v>334</v>
      </c>
      <c r="D18" s="14" t="s">
        <v>78</v>
      </c>
      <c r="E18" s="14" t="s">
        <v>286</v>
      </c>
      <c r="F18" s="14">
        <v>1801</v>
      </c>
      <c r="G18" s="17">
        <v>98</v>
      </c>
      <c r="H18" s="17">
        <v>268</v>
      </c>
      <c r="I18" s="14" t="s">
        <v>335</v>
      </c>
      <c r="J18" s="14">
        <v>1801248227</v>
      </c>
      <c r="K18" s="14">
        <v>248227</v>
      </c>
      <c r="L18" t="s">
        <v>117</v>
      </c>
      <c r="N18" t="str">
        <v>BDT</v>
      </c>
    </row>
    <row r="19" spans="1:14">
      <c r="A19" s="13" t="s">
        <v>117</v>
      </c>
      <c r="B19" s="14" t="s">
        <v>63</v>
      </c>
      <c r="C19" s="14" t="s">
        <v>324</v>
      </c>
      <c r="D19" s="14" t="s">
        <v>67</v>
      </c>
      <c r="E19" s="14" t="s">
        <v>286</v>
      </c>
      <c r="F19" s="14">
        <v>1366</v>
      </c>
      <c r="G19" s="17">
        <v>238</v>
      </c>
      <c r="H19" s="17">
        <v>984</v>
      </c>
      <c r="I19" s="14" t="s">
        <v>325</v>
      </c>
      <c r="J19" s="14">
        <v>1366121960</v>
      </c>
      <c r="K19" s="14">
        <v>121960</v>
      </c>
      <c r="L19" t="s">
        <v>117</v>
      </c>
      <c r="N19" t="str">
        <v>BHD</v>
      </c>
    </row>
    <row r="20" spans="1:14">
      <c r="A20" s="13" t="s">
        <v>117</v>
      </c>
      <c r="B20" s="14" t="s">
        <v>63</v>
      </c>
      <c r="C20" s="14" t="s">
        <v>291</v>
      </c>
      <c r="D20" s="14" t="s">
        <v>74</v>
      </c>
      <c r="E20" s="14" t="s">
        <v>286</v>
      </c>
      <c r="F20" s="14">
        <v>1164</v>
      </c>
      <c r="G20" s="17">
        <v>186</v>
      </c>
      <c r="H20" s="17">
        <v>800</v>
      </c>
      <c r="I20" s="14" t="s">
        <v>292</v>
      </c>
      <c r="J20" s="14">
        <v>1164006111</v>
      </c>
      <c r="K20" s="14">
        <v>110550</v>
      </c>
      <c r="L20" t="s">
        <v>117</v>
      </c>
      <c r="N20" t="str">
        <v>BOB</v>
      </c>
    </row>
    <row r="21" spans="1:14">
      <c r="A21" s="13" t="s">
        <v>117</v>
      </c>
      <c r="B21" s="14" t="s">
        <v>63</v>
      </c>
      <c r="C21" s="14" t="s">
        <v>304</v>
      </c>
      <c r="D21" s="14" t="s">
        <v>79</v>
      </c>
      <c r="E21" s="14" t="s">
        <v>286</v>
      </c>
      <c r="F21" s="14">
        <v>1541</v>
      </c>
      <c r="G21" s="17">
        <v>72</v>
      </c>
      <c r="H21" s="17">
        <v>189</v>
      </c>
      <c r="I21" s="14" t="s">
        <v>305</v>
      </c>
      <c r="J21" s="14">
        <v>1541189012</v>
      </c>
      <c r="K21" s="14">
        <v>110853</v>
      </c>
      <c r="L21" t="s">
        <v>117</v>
      </c>
      <c r="N21" t="str">
        <v>BRL</v>
      </c>
    </row>
    <row r="22" spans="1:14">
      <c r="A22" s="13" t="s">
        <v>117</v>
      </c>
      <c r="B22" s="14" t="s">
        <v>63</v>
      </c>
      <c r="C22" s="14" t="s">
        <v>306</v>
      </c>
      <c r="D22" s="14" t="s">
        <v>79</v>
      </c>
      <c r="E22" s="14" t="s">
        <v>290</v>
      </c>
      <c r="F22" s="14">
        <v>1541</v>
      </c>
      <c r="G22" s="17">
        <v>72</v>
      </c>
      <c r="H22" s="17">
        <v>188</v>
      </c>
      <c r="I22" s="14" t="s">
        <v>305</v>
      </c>
      <c r="J22" s="14">
        <v>1541189012</v>
      </c>
      <c r="K22" s="14">
        <v>110853</v>
      </c>
      <c r="L22" t="s">
        <v>117</v>
      </c>
      <c r="N22" t="str">
        <v>BYN</v>
      </c>
    </row>
    <row r="23" spans="1:14">
      <c r="A23" s="13" t="s">
        <v>117</v>
      </c>
      <c r="B23" s="14" t="s">
        <v>63</v>
      </c>
      <c r="C23" s="14" t="s">
        <v>320</v>
      </c>
      <c r="D23" s="14" t="s">
        <v>66</v>
      </c>
      <c r="E23" s="14" t="s">
        <v>286</v>
      </c>
      <c r="F23" s="14">
        <v>1783</v>
      </c>
      <c r="G23" s="17">
        <v>187</v>
      </c>
      <c r="H23" s="17">
        <v>801</v>
      </c>
      <c r="I23" s="14" t="s">
        <v>321</v>
      </c>
      <c r="J23" s="14">
        <v>1783006060</v>
      </c>
      <c r="K23" s="14">
        <v>111108</v>
      </c>
      <c r="L23" t="s">
        <v>117</v>
      </c>
      <c r="N23" t="str">
        <v>CHF</v>
      </c>
    </row>
    <row r="24" spans="1:14">
      <c r="A24" s="13" t="s">
        <v>117</v>
      </c>
      <c r="B24" s="14" t="s">
        <v>63</v>
      </c>
      <c r="C24" s="14" t="s">
        <v>284</v>
      </c>
      <c r="D24" s="14" t="s">
        <v>285</v>
      </c>
      <c r="E24" s="14" t="s">
        <v>286</v>
      </c>
      <c r="F24" s="14">
        <v>1648</v>
      </c>
      <c r="G24" s="17">
        <v>39</v>
      </c>
      <c r="H24" s="17"/>
      <c r="I24" s="14" t="s">
        <v>154</v>
      </c>
      <c r="J24" s="14">
        <v>1648009942</v>
      </c>
      <c r="K24" s="14">
        <v>107490</v>
      </c>
      <c r="L24" t="s">
        <v>117</v>
      </c>
      <c r="N24" t="str">
        <v>CLP</v>
      </c>
    </row>
    <row r="25" spans="1:14">
      <c r="A25" s="13" t="s">
        <v>117</v>
      </c>
      <c r="B25" s="14" t="s">
        <v>63</v>
      </c>
      <c r="C25" s="14" t="s">
        <v>330</v>
      </c>
      <c r="D25" s="14" t="s">
        <v>73</v>
      </c>
      <c r="E25" s="14" t="s">
        <v>286</v>
      </c>
      <c r="F25" s="14">
        <v>1538</v>
      </c>
      <c r="G25" s="17">
        <v>97</v>
      </c>
      <c r="H25" s="17">
        <v>267</v>
      </c>
      <c r="I25" s="14" t="s">
        <v>331</v>
      </c>
      <c r="J25" s="14">
        <v>1538214844</v>
      </c>
      <c r="K25" s="14">
        <v>214844</v>
      </c>
      <c r="L25" t="s">
        <v>117</v>
      </c>
      <c r="N25" t="str">
        <v>CNY</v>
      </c>
    </row>
    <row r="26" spans="1:14">
      <c r="A26" s="13" t="s">
        <v>117</v>
      </c>
      <c r="B26" s="14" t="s">
        <v>63</v>
      </c>
      <c r="C26" s="14" t="s">
        <v>65</v>
      </c>
      <c r="D26" s="14" t="s">
        <v>65</v>
      </c>
      <c r="E26" s="14" t="s">
        <v>286</v>
      </c>
      <c r="F26" s="14">
        <v>1358</v>
      </c>
      <c r="G26" s="17">
        <v>184</v>
      </c>
      <c r="H26" s="17">
        <v>5154</v>
      </c>
      <c r="I26" s="14" t="s">
        <v>326</v>
      </c>
      <c r="J26" s="14">
        <v>1358158777</v>
      </c>
      <c r="K26" s="14">
        <v>158777</v>
      </c>
      <c r="L26" t="s">
        <v>117</v>
      </c>
      <c r="N26" t="str">
        <v>COP</v>
      </c>
    </row>
    <row r="27" spans="1:14">
      <c r="A27" s="13" t="s">
        <v>117</v>
      </c>
      <c r="B27" s="14" t="s">
        <v>63</v>
      </c>
      <c r="C27" s="14" t="s">
        <v>332</v>
      </c>
      <c r="D27" s="14" t="s">
        <v>73</v>
      </c>
      <c r="E27" s="14" t="s">
        <v>333</v>
      </c>
      <c r="F27" s="14">
        <v>1538</v>
      </c>
      <c r="G27" s="17">
        <v>97</v>
      </c>
      <c r="H27" s="17">
        <v>267</v>
      </c>
      <c r="I27" s="14" t="s">
        <v>331</v>
      </c>
      <c r="J27" s="14">
        <v>1538216549</v>
      </c>
      <c r="K27" s="14">
        <v>216549</v>
      </c>
      <c r="L27" t="s">
        <v>117</v>
      </c>
      <c r="N27" t="str">
        <v>CRC</v>
      </c>
    </row>
    <row r="28" spans="1:14">
      <c r="A28" s="13" t="s">
        <v>117</v>
      </c>
      <c r="B28" s="14" t="s">
        <v>63</v>
      </c>
      <c r="C28" s="14" t="s">
        <v>302</v>
      </c>
      <c r="D28" s="14" t="s">
        <v>64</v>
      </c>
      <c r="E28" s="14" t="s">
        <v>286</v>
      </c>
      <c r="F28" s="14">
        <v>1423</v>
      </c>
      <c r="G28" s="17">
        <v>253</v>
      </c>
      <c r="H28" s="17">
        <v>2036</v>
      </c>
      <c r="I28" s="14" t="s">
        <v>303</v>
      </c>
      <c r="J28" s="14">
        <v>1423006065</v>
      </c>
      <c r="K28" s="14">
        <v>110727</v>
      </c>
      <c r="L28" t="s">
        <v>117</v>
      </c>
      <c r="N28" t="str">
        <v>CZK</v>
      </c>
    </row>
    <row r="29" spans="1:14">
      <c r="A29" s="13" t="s">
        <v>117</v>
      </c>
      <c r="B29" s="14" t="s">
        <v>294</v>
      </c>
      <c r="C29" s="14" t="s">
        <v>295</v>
      </c>
      <c r="D29" s="14" t="s">
        <v>68</v>
      </c>
      <c r="E29" s="14" t="s">
        <v>286</v>
      </c>
      <c r="F29" s="14">
        <v>1251</v>
      </c>
      <c r="G29" s="17">
        <v>204</v>
      </c>
      <c r="H29" s="17">
        <v>868</v>
      </c>
      <c r="I29" s="14" t="s">
        <v>154</v>
      </c>
      <c r="J29" s="14">
        <v>1251470010</v>
      </c>
      <c r="K29" s="14">
        <v>110633</v>
      </c>
      <c r="L29" t="s">
        <v>117</v>
      </c>
      <c r="N29" t="str">
        <v>DKK</v>
      </c>
    </row>
    <row r="30" spans="1:14">
      <c r="A30" s="13" t="s">
        <v>117</v>
      </c>
      <c r="B30" s="14" t="s">
        <v>294</v>
      </c>
      <c r="C30" s="14" t="s">
        <v>296</v>
      </c>
      <c r="D30" s="14" t="s">
        <v>68</v>
      </c>
      <c r="E30" s="14" t="s">
        <v>290</v>
      </c>
      <c r="F30" s="14">
        <v>1251</v>
      </c>
      <c r="G30" s="17">
        <v>204</v>
      </c>
      <c r="H30" s="17">
        <v>867</v>
      </c>
      <c r="I30" s="14" t="s">
        <v>154</v>
      </c>
      <c r="J30" s="14">
        <v>1251470010</v>
      </c>
      <c r="K30" s="14">
        <v>110633</v>
      </c>
      <c r="L30" t="s">
        <v>117</v>
      </c>
      <c r="N30" t="str">
        <v>DOP</v>
      </c>
    </row>
    <row r="31" spans="1:14">
      <c r="A31" s="13" t="s">
        <v>117</v>
      </c>
      <c r="B31" s="14" t="s">
        <v>294</v>
      </c>
      <c r="C31" s="14" t="s">
        <v>323</v>
      </c>
      <c r="D31" s="14" t="s">
        <v>68</v>
      </c>
      <c r="E31" s="14" t="s">
        <v>290</v>
      </c>
      <c r="F31" s="14">
        <v>1251</v>
      </c>
      <c r="G31" s="17">
        <v>204</v>
      </c>
      <c r="H31" s="17">
        <v>867</v>
      </c>
      <c r="I31" s="14" t="s">
        <v>154</v>
      </c>
      <c r="J31" s="14">
        <v>1251119290</v>
      </c>
      <c r="K31" s="14">
        <v>119290</v>
      </c>
      <c r="L31" t="s">
        <v>117</v>
      </c>
      <c r="N31" t="str">
        <v>DZD</v>
      </c>
    </row>
    <row r="32" spans="1:14">
      <c r="A32" s="13" t="s">
        <v>117</v>
      </c>
      <c r="B32" s="14" t="s">
        <v>294</v>
      </c>
      <c r="C32" s="14" t="s">
        <v>322</v>
      </c>
      <c r="D32" s="14" t="s">
        <v>68</v>
      </c>
      <c r="E32" s="14" t="s">
        <v>286</v>
      </c>
      <c r="F32" s="14">
        <v>1251</v>
      </c>
      <c r="G32" s="17">
        <v>204</v>
      </c>
      <c r="H32" s="17">
        <v>868</v>
      </c>
      <c r="I32" s="14" t="s">
        <v>154</v>
      </c>
      <c r="J32" s="14">
        <v>1251119290</v>
      </c>
      <c r="K32" s="14">
        <v>119290</v>
      </c>
      <c r="L32" t="s">
        <v>117</v>
      </c>
      <c r="N32" t="str">
        <v>EGP</v>
      </c>
    </row>
    <row r="33" spans="1:14">
      <c r="A33" s="13" t="s">
        <v>117</v>
      </c>
      <c r="B33" s="14" t="s">
        <v>294</v>
      </c>
      <c r="C33" s="19" t="s">
        <v>426</v>
      </c>
      <c r="D33" s="14" t="s">
        <v>75</v>
      </c>
      <c r="E33" s="14" t="s">
        <v>286</v>
      </c>
      <c r="F33" s="14">
        <v>1638</v>
      </c>
      <c r="G33" s="14">
        <v>152</v>
      </c>
      <c r="H33" s="14">
        <v>476</v>
      </c>
      <c r="I33" s="14" t="s">
        <v>319</v>
      </c>
      <c r="J33" s="14">
        <v>1638468006</v>
      </c>
      <c r="K33" s="14">
        <v>110954</v>
      </c>
      <c r="L33" t="s">
        <v>117</v>
      </c>
      <c r="N33" t="str">
        <v>EUR</v>
      </c>
    </row>
    <row r="34" spans="1:14">
      <c r="A34" s="13" t="s">
        <v>117</v>
      </c>
      <c r="B34" s="14" t="s">
        <v>294</v>
      </c>
      <c r="C34" s="14" t="s">
        <v>297</v>
      </c>
      <c r="D34" s="14" t="s">
        <v>68</v>
      </c>
      <c r="E34" s="14" t="s">
        <v>286</v>
      </c>
      <c r="F34" s="14">
        <v>1251</v>
      </c>
      <c r="G34" s="17">
        <v>204</v>
      </c>
      <c r="H34" s="17">
        <v>868</v>
      </c>
      <c r="I34" s="14" t="s">
        <v>154</v>
      </c>
      <c r="J34" s="14">
        <v>1251470011</v>
      </c>
      <c r="K34" s="14">
        <v>110634</v>
      </c>
      <c r="L34" t="s">
        <v>117</v>
      </c>
      <c r="N34" t="str">
        <v>GBP</v>
      </c>
    </row>
    <row r="35" spans="1:14">
      <c r="A35" s="13" t="s">
        <v>117</v>
      </c>
      <c r="B35" s="14" t="s">
        <v>294</v>
      </c>
      <c r="C35" s="14" t="s">
        <v>298</v>
      </c>
      <c r="D35" s="14" t="s">
        <v>68</v>
      </c>
      <c r="E35" s="14" t="s">
        <v>290</v>
      </c>
      <c r="F35" s="14">
        <v>1251</v>
      </c>
      <c r="G35" s="17">
        <v>204</v>
      </c>
      <c r="H35" s="17">
        <v>867</v>
      </c>
      <c r="I35" s="14" t="s">
        <v>154</v>
      </c>
      <c r="J35" s="14">
        <v>1251470011</v>
      </c>
      <c r="K35" s="14">
        <v>110634</v>
      </c>
      <c r="L35" t="s">
        <v>117</v>
      </c>
      <c r="N35" t="str">
        <v>GHS</v>
      </c>
    </row>
    <row r="36" spans="1:14">
      <c r="A36" s="13" t="s">
        <v>117</v>
      </c>
      <c r="B36" s="14" t="s">
        <v>294</v>
      </c>
      <c r="C36" s="14" t="s">
        <v>299</v>
      </c>
      <c r="D36" s="14" t="s">
        <v>76</v>
      </c>
      <c r="E36" s="14" t="s">
        <v>286</v>
      </c>
      <c r="F36" s="14">
        <v>1386</v>
      </c>
      <c r="G36" s="17">
        <v>242</v>
      </c>
      <c r="H36" s="17" t="s">
        <v>300</v>
      </c>
      <c r="I36" s="14" t="s">
        <v>301</v>
      </c>
      <c r="J36" s="14">
        <v>1386006618</v>
      </c>
      <c r="K36" s="14">
        <v>110711</v>
      </c>
      <c r="L36" t="s">
        <v>117</v>
      </c>
      <c r="N36" t="str">
        <v>GTQ</v>
      </c>
    </row>
    <row r="37" spans="1:14">
      <c r="A37" s="13" t="s">
        <v>117</v>
      </c>
      <c r="B37" s="14" t="s">
        <v>70</v>
      </c>
      <c r="C37" s="14" t="s">
        <v>293</v>
      </c>
      <c r="D37" s="14" t="s">
        <v>71</v>
      </c>
      <c r="E37" s="14" t="s">
        <v>286</v>
      </c>
      <c r="F37" s="14">
        <v>1165</v>
      </c>
      <c r="G37" s="17"/>
      <c r="H37" s="17"/>
      <c r="I37" s="14" t="s">
        <v>288</v>
      </c>
      <c r="J37" s="14">
        <v>1165000001</v>
      </c>
      <c r="K37" s="14">
        <v>110552</v>
      </c>
      <c r="L37" t="s">
        <v>117</v>
      </c>
      <c r="N37" t="str">
        <v>HKD</v>
      </c>
    </row>
    <row r="38" spans="1:14">
      <c r="A38" s="13" t="s">
        <v>117</v>
      </c>
      <c r="B38" s="14" t="s">
        <v>70</v>
      </c>
      <c r="C38" s="14" t="s">
        <v>336</v>
      </c>
      <c r="D38" s="14" t="s">
        <v>80</v>
      </c>
      <c r="E38" s="14" t="s">
        <v>286</v>
      </c>
      <c r="F38" s="14">
        <v>1404</v>
      </c>
      <c r="G38" s="17">
        <v>250</v>
      </c>
      <c r="H38" s="17">
        <v>2011</v>
      </c>
      <c r="I38" s="14" t="s">
        <v>337</v>
      </c>
      <c r="J38" s="14">
        <v>1404248228</v>
      </c>
      <c r="K38" s="14">
        <v>248228</v>
      </c>
      <c r="L38" t="s">
        <v>117</v>
      </c>
      <c r="N38" t="str">
        <v>HRK</v>
      </c>
    </row>
    <row r="39" spans="1:14">
      <c r="A39" s="13" t="s">
        <v>117</v>
      </c>
      <c r="B39" s="14" t="s">
        <v>70</v>
      </c>
      <c r="C39" s="14" t="s">
        <v>328</v>
      </c>
      <c r="D39" s="14" t="s">
        <v>77</v>
      </c>
      <c r="E39" s="14" t="s">
        <v>286</v>
      </c>
      <c r="F39" s="14">
        <v>1407</v>
      </c>
      <c r="G39" s="17">
        <v>251</v>
      </c>
      <c r="H39" s="17">
        <v>2012</v>
      </c>
      <c r="I39" s="14" t="s">
        <v>329</v>
      </c>
      <c r="J39" s="14">
        <v>1407212892</v>
      </c>
      <c r="K39" s="14">
        <v>212892</v>
      </c>
      <c r="L39" t="s">
        <v>117</v>
      </c>
      <c r="N39" t="str">
        <v>HUF</v>
      </c>
    </row>
    <row r="40" spans="1:14">
      <c r="A40" s="13" t="s">
        <v>117</v>
      </c>
      <c r="B40" s="14" t="s">
        <v>70</v>
      </c>
      <c r="C40" s="14" t="s">
        <v>287</v>
      </c>
      <c r="D40" s="14" t="s">
        <v>71</v>
      </c>
      <c r="E40" s="14" t="s">
        <v>286</v>
      </c>
      <c r="F40" s="14">
        <v>1158</v>
      </c>
      <c r="G40" s="17">
        <v>114</v>
      </c>
      <c r="H40" s="18">
        <v>0.71111111111111114</v>
      </c>
      <c r="I40" s="14" t="s">
        <v>288</v>
      </c>
      <c r="J40" s="14">
        <v>1158454876</v>
      </c>
      <c r="K40" s="14">
        <v>110545</v>
      </c>
      <c r="L40" t="s">
        <v>117</v>
      </c>
      <c r="N40" t="str">
        <v>IDR</v>
      </c>
    </row>
    <row r="41" spans="1:14">
      <c r="A41" s="13" t="s">
        <v>117</v>
      </c>
      <c r="B41" s="14" t="s">
        <v>70</v>
      </c>
      <c r="C41" s="14" t="s">
        <v>287</v>
      </c>
      <c r="D41" s="14" t="s">
        <v>289</v>
      </c>
      <c r="E41" s="14" t="s">
        <v>290</v>
      </c>
      <c r="F41" s="14">
        <v>1158</v>
      </c>
      <c r="G41" s="17">
        <v>114</v>
      </c>
      <c r="H41" s="17">
        <v>943</v>
      </c>
      <c r="I41" s="14" t="s">
        <v>288</v>
      </c>
      <c r="J41" s="14">
        <v>1158454877</v>
      </c>
      <c r="K41" s="14">
        <v>110546</v>
      </c>
      <c r="L41" t="s">
        <v>117</v>
      </c>
      <c r="N41" t="str">
        <v>ILS</v>
      </c>
    </row>
    <row r="42" spans="1:14">
      <c r="A42" s="13" t="s">
        <v>117</v>
      </c>
      <c r="B42" s="14" t="s">
        <v>70</v>
      </c>
      <c r="C42" s="14" t="s">
        <v>340</v>
      </c>
      <c r="D42" s="14" t="s">
        <v>71</v>
      </c>
      <c r="E42" s="14"/>
      <c r="F42" s="14">
        <v>1158</v>
      </c>
      <c r="G42" s="17">
        <v>114</v>
      </c>
      <c r="H42" s="17">
        <v>943</v>
      </c>
      <c r="I42" s="14" t="s">
        <v>288</v>
      </c>
      <c r="J42" s="14">
        <v>1158291862</v>
      </c>
      <c r="K42" s="14">
        <v>291862</v>
      </c>
      <c r="L42" t="s">
        <v>117</v>
      </c>
      <c r="N42" t="str">
        <v>INR</v>
      </c>
    </row>
    <row r="43" spans="1:14">
      <c r="A43" s="13" t="s">
        <v>117</v>
      </c>
      <c r="B43" s="14" t="s">
        <v>70</v>
      </c>
      <c r="C43" s="14" t="s">
        <v>339</v>
      </c>
      <c r="D43" s="14" t="s">
        <v>71</v>
      </c>
      <c r="E43" s="14" t="s">
        <v>286</v>
      </c>
      <c r="F43" s="14">
        <v>1158</v>
      </c>
      <c r="G43" s="17">
        <v>114</v>
      </c>
      <c r="H43" s="17">
        <v>943</v>
      </c>
      <c r="I43" s="14" t="s">
        <v>288</v>
      </c>
      <c r="J43" s="14">
        <v>1158289893</v>
      </c>
      <c r="K43" s="14">
        <v>289893</v>
      </c>
      <c r="L43" t="s">
        <v>117</v>
      </c>
      <c r="N43" t="str">
        <v>JPY</v>
      </c>
    </row>
    <row r="44" spans="1:14">
      <c r="A44" s="13" t="s">
        <v>117</v>
      </c>
      <c r="B44" s="14" t="s">
        <v>307</v>
      </c>
      <c r="C44" s="14" t="s">
        <v>311</v>
      </c>
      <c r="D44" s="14" t="s">
        <v>72</v>
      </c>
      <c r="E44" s="14" t="s">
        <v>290</v>
      </c>
      <c r="F44" s="14">
        <v>1630</v>
      </c>
      <c r="G44" s="17">
        <v>77</v>
      </c>
      <c r="H44" s="17" t="s">
        <v>312</v>
      </c>
      <c r="I44" s="14" t="s">
        <v>310</v>
      </c>
      <c r="J44" s="14">
        <v>1630006145</v>
      </c>
      <c r="K44" s="14">
        <v>110925</v>
      </c>
      <c r="L44" t="s">
        <v>117</v>
      </c>
      <c r="N44" t="str">
        <v>KES</v>
      </c>
    </row>
    <row r="45" spans="1:14">
      <c r="A45" s="13" t="s">
        <v>117</v>
      </c>
      <c r="B45" s="14" t="s">
        <v>307</v>
      </c>
      <c r="C45" s="14" t="s">
        <v>313</v>
      </c>
      <c r="D45" s="14" t="s">
        <v>72</v>
      </c>
      <c r="E45" s="14" t="s">
        <v>290</v>
      </c>
      <c r="F45" s="14">
        <v>1630</v>
      </c>
      <c r="G45" s="17">
        <v>77</v>
      </c>
      <c r="H45" s="17">
        <v>1036</v>
      </c>
      <c r="I45" s="14" t="s">
        <v>310</v>
      </c>
      <c r="J45" s="14">
        <v>1630006146</v>
      </c>
      <c r="K45" s="14">
        <v>110926</v>
      </c>
      <c r="L45" t="s">
        <v>117</v>
      </c>
      <c r="N45" t="str">
        <v>KRW</v>
      </c>
    </row>
    <row r="46" spans="1:14">
      <c r="A46" s="13" t="s">
        <v>117</v>
      </c>
      <c r="B46" s="14" t="s">
        <v>307</v>
      </c>
      <c r="C46" s="14" t="s">
        <v>338</v>
      </c>
      <c r="D46" s="14" t="s">
        <v>72</v>
      </c>
      <c r="E46" s="14" t="s">
        <v>290</v>
      </c>
      <c r="F46" s="14">
        <v>1630</v>
      </c>
      <c r="G46" s="17">
        <v>77</v>
      </c>
      <c r="H46" s="17">
        <v>1036</v>
      </c>
      <c r="I46" s="14" t="s">
        <v>310</v>
      </c>
      <c r="J46" s="14">
        <v>1630278931</v>
      </c>
      <c r="K46" s="14">
        <v>278931</v>
      </c>
      <c r="L46" t="s">
        <v>117</v>
      </c>
      <c r="N46" t="str">
        <v>KZT</v>
      </c>
    </row>
    <row r="47" spans="1:14">
      <c r="A47" s="13" t="s">
        <v>117</v>
      </c>
      <c r="B47" s="14" t="s">
        <v>307</v>
      </c>
      <c r="C47" s="14" t="s">
        <v>327</v>
      </c>
      <c r="D47" s="14" t="s">
        <v>72</v>
      </c>
      <c r="E47" s="14" t="s">
        <v>290</v>
      </c>
      <c r="F47" s="14">
        <v>1630</v>
      </c>
      <c r="G47" s="17">
        <v>77</v>
      </c>
      <c r="H47" s="17">
        <v>1036</v>
      </c>
      <c r="I47" s="14" t="s">
        <v>310</v>
      </c>
      <c r="J47" s="14">
        <v>1630197508</v>
      </c>
      <c r="K47" s="14">
        <v>197508</v>
      </c>
      <c r="L47" t="s">
        <v>117</v>
      </c>
      <c r="N47" t="str">
        <v>LKR</v>
      </c>
    </row>
    <row r="48" spans="1:14">
      <c r="A48" s="13" t="s">
        <v>117</v>
      </c>
      <c r="B48" s="14" t="s">
        <v>307</v>
      </c>
      <c r="C48" s="14" t="s">
        <v>314</v>
      </c>
      <c r="D48" s="14" t="s">
        <v>315</v>
      </c>
      <c r="E48" s="14" t="s">
        <v>286</v>
      </c>
      <c r="F48" s="14">
        <v>1637</v>
      </c>
      <c r="G48" s="17">
        <v>50</v>
      </c>
      <c r="H48" s="17" t="s">
        <v>316</v>
      </c>
      <c r="I48" s="14" t="s">
        <v>317</v>
      </c>
      <c r="J48" s="14">
        <v>1637080040</v>
      </c>
      <c r="K48" s="14">
        <v>110929</v>
      </c>
      <c r="L48" t="s">
        <v>117</v>
      </c>
      <c r="N48" t="str">
        <v>MAD</v>
      </c>
    </row>
    <row r="49" spans="1:14">
      <c r="A49" s="13" t="s">
        <v>117</v>
      </c>
      <c r="B49" s="14" t="s">
        <v>307</v>
      </c>
      <c r="C49" s="14" t="s">
        <v>314</v>
      </c>
      <c r="D49" s="14" t="s">
        <v>315</v>
      </c>
      <c r="E49" s="14" t="s">
        <v>286</v>
      </c>
      <c r="F49" s="14">
        <v>1637</v>
      </c>
      <c r="G49" s="17">
        <v>50</v>
      </c>
      <c r="H49" s="17" t="s">
        <v>318</v>
      </c>
      <c r="I49" s="14" t="s">
        <v>317</v>
      </c>
      <c r="J49" s="14">
        <v>1637080040</v>
      </c>
      <c r="K49" s="14">
        <v>110929</v>
      </c>
      <c r="L49" t="s">
        <v>117</v>
      </c>
      <c r="N49" t="str">
        <v>MMK</v>
      </c>
    </row>
    <row r="50" spans="1:14">
      <c r="A50" s="13" t="s">
        <v>117</v>
      </c>
      <c r="B50" s="14" t="s">
        <v>307</v>
      </c>
      <c r="C50" s="14" t="s">
        <v>308</v>
      </c>
      <c r="D50" s="14" t="s">
        <v>72</v>
      </c>
      <c r="E50" s="14" t="s">
        <v>286</v>
      </c>
      <c r="F50" s="14">
        <v>1626</v>
      </c>
      <c r="G50" s="17">
        <v>76</v>
      </c>
      <c r="H50" s="17" t="s">
        <v>309</v>
      </c>
      <c r="I50" s="14" t="s">
        <v>310</v>
      </c>
      <c r="J50" s="14" t="s">
        <v>69</v>
      </c>
      <c r="K50" s="14">
        <v>110922</v>
      </c>
      <c r="L50" t="s">
        <v>117</v>
      </c>
      <c r="N50" t="str">
        <v>MUR</v>
      </c>
    </row>
    <row r="51" spans="1:14">
      <c r="A51" s="13" t="s">
        <v>118</v>
      </c>
      <c r="B51" s="14" t="s">
        <v>48</v>
      </c>
      <c r="C51" s="15" t="s">
        <v>163</v>
      </c>
      <c r="D51" s="15" t="s">
        <v>164</v>
      </c>
      <c r="E51" s="15" t="s">
        <v>286</v>
      </c>
      <c r="F51" s="15">
        <v>1398</v>
      </c>
      <c r="G51" s="15">
        <v>246</v>
      </c>
      <c r="H51" s="15">
        <v>5017</v>
      </c>
      <c r="I51" s="15" t="s">
        <v>165</v>
      </c>
      <c r="J51" s="15">
        <v>1398000068</v>
      </c>
      <c r="K51" s="14">
        <v>110717</v>
      </c>
      <c r="L51" t="s">
        <v>118</v>
      </c>
      <c r="N51" t="str">
        <v>MXN</v>
      </c>
    </row>
    <row r="52" spans="1:14">
      <c r="A52" s="13" t="s">
        <v>118</v>
      </c>
      <c r="B52" s="14" t="s">
        <v>48</v>
      </c>
      <c r="C52" s="15" t="s">
        <v>166</v>
      </c>
      <c r="D52" s="15" t="s">
        <v>167</v>
      </c>
      <c r="E52" s="15" t="s">
        <v>286</v>
      </c>
      <c r="F52" s="15">
        <v>1013</v>
      </c>
      <c r="G52" s="15">
        <v>136</v>
      </c>
      <c r="H52" s="15">
        <v>406</v>
      </c>
      <c r="I52" s="15" t="s">
        <v>168</v>
      </c>
      <c r="J52" s="15">
        <v>1013000023</v>
      </c>
      <c r="K52" s="14">
        <v>110448</v>
      </c>
      <c r="L52" t="s">
        <v>118</v>
      </c>
      <c r="N52" t="str">
        <v>MYR</v>
      </c>
    </row>
    <row r="53" spans="1:14">
      <c r="A53" s="13" t="s">
        <v>118</v>
      </c>
      <c r="B53" s="14" t="s">
        <v>48</v>
      </c>
      <c r="C53" s="15" t="s">
        <v>281</v>
      </c>
      <c r="D53" s="15" t="s">
        <v>282</v>
      </c>
      <c r="E53" s="15" t="s">
        <v>286</v>
      </c>
      <c r="F53" s="15">
        <v>1363</v>
      </c>
      <c r="G53" s="15">
        <v>127</v>
      </c>
      <c r="H53" s="15">
        <v>974</v>
      </c>
      <c r="I53" s="15" t="s">
        <v>254</v>
      </c>
      <c r="J53" s="15">
        <v>1363000072</v>
      </c>
      <c r="K53" s="14">
        <v>110690</v>
      </c>
      <c r="L53" t="s">
        <v>118</v>
      </c>
      <c r="N53" t="str">
        <v>NGN</v>
      </c>
    </row>
    <row r="54" spans="1:14">
      <c r="A54" s="13" t="s">
        <v>118</v>
      </c>
      <c r="B54" s="14" t="s">
        <v>48</v>
      </c>
      <c r="C54" s="15" t="s">
        <v>174</v>
      </c>
      <c r="D54" s="15" t="s">
        <v>174</v>
      </c>
      <c r="E54" s="15" t="s">
        <v>286</v>
      </c>
      <c r="F54" s="15">
        <v>1362</v>
      </c>
      <c r="G54" s="15">
        <v>127</v>
      </c>
      <c r="H54" s="15">
        <v>963</v>
      </c>
      <c r="I54" s="15" t="s">
        <v>175</v>
      </c>
      <c r="J54" s="15">
        <v>1362000004</v>
      </c>
      <c r="K54" s="14">
        <v>110685</v>
      </c>
      <c r="L54" t="s">
        <v>118</v>
      </c>
      <c r="N54" t="str">
        <v>NOK</v>
      </c>
    </row>
    <row r="55" spans="1:14">
      <c r="A55" s="13" t="s">
        <v>118</v>
      </c>
      <c r="B55" s="14" t="s">
        <v>48</v>
      </c>
      <c r="C55" s="14" t="s">
        <v>195</v>
      </c>
      <c r="D55" s="14" t="s">
        <v>54</v>
      </c>
      <c r="E55" s="15" t="s">
        <v>286</v>
      </c>
      <c r="F55" s="14">
        <v>1612</v>
      </c>
      <c r="G55" s="14">
        <v>131</v>
      </c>
      <c r="H55" s="14">
        <v>397</v>
      </c>
      <c r="I55" s="14" t="s">
        <v>196</v>
      </c>
      <c r="J55" s="14">
        <v>1612384001</v>
      </c>
      <c r="K55" s="14">
        <v>106547</v>
      </c>
      <c r="L55" t="s">
        <v>118</v>
      </c>
      <c r="N55" t="str">
        <v>NZD</v>
      </c>
    </row>
    <row r="56" spans="1:14">
      <c r="A56" s="13" t="s">
        <v>118</v>
      </c>
      <c r="B56" s="14" t="s">
        <v>48</v>
      </c>
      <c r="C56" s="14" t="s">
        <v>197</v>
      </c>
      <c r="D56" s="14" t="s">
        <v>49</v>
      </c>
      <c r="E56" s="15" t="s">
        <v>286</v>
      </c>
      <c r="F56" s="14">
        <v>1104</v>
      </c>
      <c r="G56" s="14">
        <v>126</v>
      </c>
      <c r="H56" s="14">
        <v>401</v>
      </c>
      <c r="I56" s="14" t="s">
        <v>198</v>
      </c>
      <c r="J56" s="14">
        <v>1104390001</v>
      </c>
      <c r="K56" s="14">
        <v>103384</v>
      </c>
      <c r="L56" t="s">
        <v>118</v>
      </c>
      <c r="N56" t="str">
        <v>PEN</v>
      </c>
    </row>
    <row r="57" spans="1:14">
      <c r="A57" s="13" t="s">
        <v>118</v>
      </c>
      <c r="B57" s="14" t="s">
        <v>48</v>
      </c>
      <c r="C57" s="15" t="s">
        <v>201</v>
      </c>
      <c r="D57" s="15" t="s">
        <v>202</v>
      </c>
      <c r="E57" s="15" t="s">
        <v>286</v>
      </c>
      <c r="F57" s="15">
        <v>1249</v>
      </c>
      <c r="G57" s="15">
        <v>196</v>
      </c>
      <c r="H57" s="15">
        <v>845</v>
      </c>
      <c r="I57" s="15" t="s">
        <v>203</v>
      </c>
      <c r="J57" s="15">
        <v>1249000011</v>
      </c>
      <c r="K57" s="14">
        <v>110624</v>
      </c>
      <c r="L57" t="s">
        <v>118</v>
      </c>
      <c r="N57" t="str">
        <v>PKR</v>
      </c>
    </row>
    <row r="58" spans="1:14">
      <c r="A58" s="13" t="s">
        <v>118</v>
      </c>
      <c r="B58" s="14" t="s">
        <v>48</v>
      </c>
      <c r="C58" s="15" t="s">
        <v>216</v>
      </c>
      <c r="D58" s="15" t="s">
        <v>217</v>
      </c>
      <c r="E58" s="15" t="s">
        <v>286</v>
      </c>
      <c r="F58" s="15">
        <v>1383</v>
      </c>
      <c r="G58" s="15">
        <v>240</v>
      </c>
      <c r="H58" s="15">
        <v>994</v>
      </c>
      <c r="I58" s="15" t="s">
        <v>218</v>
      </c>
      <c r="J58" s="15">
        <v>1383000005</v>
      </c>
      <c r="K58" s="14">
        <v>110707</v>
      </c>
      <c r="L58" t="s">
        <v>118</v>
      </c>
      <c r="N58" t="str">
        <v>PLN</v>
      </c>
    </row>
    <row r="59" spans="1:14">
      <c r="A59" s="13" t="s">
        <v>118</v>
      </c>
      <c r="B59" s="14" t="s">
        <v>48</v>
      </c>
      <c r="C59" s="14" t="s">
        <v>221</v>
      </c>
      <c r="D59" s="14" t="s">
        <v>53</v>
      </c>
      <c r="E59" s="15" t="s">
        <v>286</v>
      </c>
      <c r="F59" s="14">
        <v>1519</v>
      </c>
      <c r="G59" s="14">
        <v>129</v>
      </c>
      <c r="H59" s="14">
        <v>395</v>
      </c>
      <c r="I59" s="14" t="s">
        <v>222</v>
      </c>
      <c r="J59" s="14">
        <v>1519010001</v>
      </c>
      <c r="K59" s="14">
        <v>105671</v>
      </c>
      <c r="L59" t="s">
        <v>118</v>
      </c>
      <c r="N59" t="str">
        <v>RON</v>
      </c>
    </row>
    <row r="60" spans="1:14">
      <c r="A60" s="13" t="s">
        <v>118</v>
      </c>
      <c r="B60" s="14" t="s">
        <v>48</v>
      </c>
      <c r="C60" s="14" t="s">
        <v>119</v>
      </c>
      <c r="D60" s="14" t="s">
        <v>52</v>
      </c>
      <c r="E60" s="15" t="s">
        <v>286</v>
      </c>
      <c r="F60" s="14">
        <v>1512</v>
      </c>
      <c r="G60" s="14">
        <v>128</v>
      </c>
      <c r="H60" s="14">
        <v>394</v>
      </c>
      <c r="I60" s="14" t="s">
        <v>231</v>
      </c>
      <c r="J60" s="14">
        <v>1512384001</v>
      </c>
      <c r="K60" s="14">
        <v>105609</v>
      </c>
      <c r="L60" t="s">
        <v>118</v>
      </c>
      <c r="N60" t="str">
        <v>RSD</v>
      </c>
    </row>
    <row r="61" spans="1:14">
      <c r="A61" s="13" t="s">
        <v>118</v>
      </c>
      <c r="B61" s="14" t="s">
        <v>48</v>
      </c>
      <c r="C61" s="14" t="s">
        <v>249</v>
      </c>
      <c r="D61" s="14" t="s">
        <v>51</v>
      </c>
      <c r="E61" s="15" t="s">
        <v>286</v>
      </c>
      <c r="F61" s="14">
        <v>1506</v>
      </c>
      <c r="G61" s="14">
        <v>127</v>
      </c>
      <c r="H61" s="14">
        <v>393</v>
      </c>
      <c r="I61" s="14" t="s">
        <v>250</v>
      </c>
      <c r="J61" s="14">
        <v>1506010001</v>
      </c>
      <c r="K61" s="14">
        <v>105514</v>
      </c>
      <c r="L61" t="s">
        <v>118</v>
      </c>
      <c r="N61" t="str">
        <v>RUB</v>
      </c>
    </row>
    <row r="62" spans="1:14">
      <c r="A62" s="13" t="s">
        <v>118</v>
      </c>
      <c r="B62" s="14" t="s">
        <v>48</v>
      </c>
      <c r="C62" s="15" t="s">
        <v>252</v>
      </c>
      <c r="D62" s="15" t="s">
        <v>253</v>
      </c>
      <c r="E62" s="15" t="s">
        <v>286</v>
      </c>
      <c r="F62" s="15">
        <v>1363</v>
      </c>
      <c r="G62" s="15">
        <v>127</v>
      </c>
      <c r="H62" s="15">
        <v>970</v>
      </c>
      <c r="I62" s="15" t="s">
        <v>254</v>
      </c>
      <c r="J62" s="15">
        <v>1363000073</v>
      </c>
      <c r="K62" s="14">
        <v>110691</v>
      </c>
      <c r="L62" t="s">
        <v>118</v>
      </c>
      <c r="N62" t="str">
        <v>SAR</v>
      </c>
    </row>
    <row r="63" spans="1:14">
      <c r="A63" s="13" t="s">
        <v>118</v>
      </c>
      <c r="B63" s="14" t="s">
        <v>48</v>
      </c>
      <c r="C63" s="15" t="s">
        <v>270</v>
      </c>
      <c r="D63" s="15" t="s">
        <v>271</v>
      </c>
      <c r="E63" s="15" t="s">
        <v>286</v>
      </c>
      <c r="F63" s="15">
        <v>1766</v>
      </c>
      <c r="G63" s="15">
        <v>132</v>
      </c>
      <c r="H63" s="15">
        <v>398</v>
      </c>
      <c r="I63" s="15" t="s">
        <v>272</v>
      </c>
      <c r="J63" s="15">
        <v>1766000033</v>
      </c>
      <c r="K63" s="14">
        <v>111092</v>
      </c>
      <c r="L63" t="s">
        <v>118</v>
      </c>
      <c r="N63" t="str">
        <v>SEK</v>
      </c>
    </row>
    <row r="64" spans="1:14">
      <c r="A64" s="13" t="s">
        <v>118</v>
      </c>
      <c r="B64" s="14" t="s">
        <v>47</v>
      </c>
      <c r="C64" s="15" t="s">
        <v>171</v>
      </c>
      <c r="D64" s="15" t="s">
        <v>172</v>
      </c>
      <c r="E64" s="15" t="s">
        <v>286</v>
      </c>
      <c r="F64" s="15">
        <v>1919</v>
      </c>
      <c r="G64" s="15">
        <v>231</v>
      </c>
      <c r="H64" s="14">
        <v>5218</v>
      </c>
      <c r="I64" s="15" t="s">
        <v>173</v>
      </c>
      <c r="J64" s="15">
        <v>1919219691</v>
      </c>
      <c r="K64" s="14">
        <v>219691</v>
      </c>
      <c r="L64" t="s">
        <v>118</v>
      </c>
      <c r="N64" t="str">
        <v>SGD</v>
      </c>
    </row>
    <row r="65" spans="1:14">
      <c r="A65" s="13" t="s">
        <v>118</v>
      </c>
      <c r="B65" s="14" t="s">
        <v>47</v>
      </c>
      <c r="C65" s="16" t="s">
        <v>178</v>
      </c>
      <c r="D65" s="16" t="s">
        <v>178</v>
      </c>
      <c r="E65" s="15" t="s">
        <v>286</v>
      </c>
      <c r="F65" s="16">
        <v>1005</v>
      </c>
      <c r="G65" s="16">
        <v>159</v>
      </c>
      <c r="H65" s="16">
        <v>708</v>
      </c>
      <c r="I65" s="16" t="s">
        <v>179</v>
      </c>
      <c r="J65" s="14">
        <v>1005040001</v>
      </c>
      <c r="K65" s="14">
        <v>102827</v>
      </c>
      <c r="L65" t="s">
        <v>118</v>
      </c>
      <c r="N65" t="str">
        <v>THB</v>
      </c>
    </row>
    <row r="66" spans="1:14">
      <c r="A66" s="13" t="s">
        <v>118</v>
      </c>
      <c r="B66" s="14" t="s">
        <v>47</v>
      </c>
      <c r="C66" s="15" t="s">
        <v>185</v>
      </c>
      <c r="D66" s="15" t="s">
        <v>186</v>
      </c>
      <c r="E66" s="15" t="s">
        <v>286</v>
      </c>
      <c r="F66" s="15">
        <v>1080</v>
      </c>
      <c r="G66" s="15">
        <v>73</v>
      </c>
      <c r="H66" s="15">
        <v>197</v>
      </c>
      <c r="I66" s="15" t="s">
        <v>187</v>
      </c>
      <c r="J66" s="15">
        <v>1080038121</v>
      </c>
      <c r="K66" s="14">
        <v>110507</v>
      </c>
      <c r="L66" t="s">
        <v>118</v>
      </c>
      <c r="N66" t="str">
        <v>TND</v>
      </c>
    </row>
    <row r="67" spans="1:14">
      <c r="A67" s="13" t="s">
        <v>118</v>
      </c>
      <c r="B67" s="14" t="s">
        <v>47</v>
      </c>
      <c r="C67" s="14" t="s">
        <v>205</v>
      </c>
      <c r="D67" s="14" t="s">
        <v>206</v>
      </c>
      <c r="E67" s="15" t="s">
        <v>286</v>
      </c>
      <c r="F67" s="14">
        <v>1847</v>
      </c>
      <c r="G67" s="14">
        <v>159</v>
      </c>
      <c r="H67" s="14">
        <v>708</v>
      </c>
      <c r="I67" s="14" t="s">
        <v>207</v>
      </c>
      <c r="J67" s="14">
        <v>1847038174</v>
      </c>
      <c r="K67" s="14">
        <v>109741</v>
      </c>
      <c r="L67" t="s">
        <v>118</v>
      </c>
      <c r="N67" t="str">
        <v>TRY</v>
      </c>
    </row>
    <row r="68" spans="1:14">
      <c r="A68" s="13" t="s">
        <v>118</v>
      </c>
      <c r="B68" s="14" t="s">
        <v>47</v>
      </c>
      <c r="C68" s="14" t="s">
        <v>219</v>
      </c>
      <c r="D68" s="14" t="s">
        <v>55</v>
      </c>
      <c r="E68" s="15" t="s">
        <v>286</v>
      </c>
      <c r="F68" s="14">
        <v>1760</v>
      </c>
      <c r="G68" s="14">
        <v>103</v>
      </c>
      <c r="H68" s="14">
        <v>146</v>
      </c>
      <c r="I68" s="14" t="s">
        <v>220</v>
      </c>
      <c r="J68" s="14">
        <v>1760096002</v>
      </c>
      <c r="K68" s="14">
        <v>108832</v>
      </c>
      <c r="L68" t="s">
        <v>118</v>
      </c>
      <c r="N68" t="str">
        <v>TWD</v>
      </c>
    </row>
    <row r="69" spans="1:14">
      <c r="A69" s="13" t="s">
        <v>118</v>
      </c>
      <c r="B69" s="14" t="s">
        <v>47</v>
      </c>
      <c r="C69" s="15" t="s">
        <v>223</v>
      </c>
      <c r="D69" s="15" t="s">
        <v>224</v>
      </c>
      <c r="E69" s="15" t="s">
        <v>286</v>
      </c>
      <c r="F69" s="15">
        <v>1824</v>
      </c>
      <c r="G69" s="15">
        <v>127</v>
      </c>
      <c r="H69" s="15">
        <v>1337</v>
      </c>
      <c r="I69" s="15" t="s">
        <v>225</v>
      </c>
      <c r="J69" s="15">
        <v>1824038112</v>
      </c>
      <c r="K69" s="14">
        <v>111147</v>
      </c>
      <c r="L69" t="s">
        <v>118</v>
      </c>
      <c r="N69" t="str">
        <v>TZS</v>
      </c>
    </row>
    <row r="70" spans="1:14">
      <c r="A70" s="13" t="s">
        <v>118</v>
      </c>
      <c r="B70" s="14" t="s">
        <v>47</v>
      </c>
      <c r="C70" s="14" t="s">
        <v>232</v>
      </c>
      <c r="D70" s="14" t="s">
        <v>50</v>
      </c>
      <c r="E70" s="15" t="s">
        <v>286</v>
      </c>
      <c r="F70" s="14">
        <v>1154</v>
      </c>
      <c r="G70" s="14">
        <v>106</v>
      </c>
      <c r="H70" s="14">
        <v>283</v>
      </c>
      <c r="I70" s="14" t="s">
        <v>233</v>
      </c>
      <c r="J70" s="14">
        <v>1154040001</v>
      </c>
      <c r="K70" s="14">
        <v>103511</v>
      </c>
      <c r="L70" t="s">
        <v>118</v>
      </c>
      <c r="N70" t="str">
        <v>UAH</v>
      </c>
    </row>
    <row r="71" spans="1:14">
      <c r="A71" s="13" t="s">
        <v>118</v>
      </c>
      <c r="B71" s="14" t="s">
        <v>47</v>
      </c>
      <c r="C71" s="14" t="s">
        <v>258</v>
      </c>
      <c r="D71" s="14" t="s">
        <v>259</v>
      </c>
      <c r="E71" s="15" t="s">
        <v>286</v>
      </c>
      <c r="F71" s="14">
        <v>1949</v>
      </c>
      <c r="G71" s="14">
        <v>160</v>
      </c>
      <c r="H71" s="14">
        <v>5345</v>
      </c>
      <c r="I71" s="14" t="s">
        <v>260</v>
      </c>
      <c r="J71" s="14"/>
      <c r="K71" s="14">
        <v>390680</v>
      </c>
      <c r="L71" t="s">
        <v>118</v>
      </c>
      <c r="N71" t="str">
        <v>UGX</v>
      </c>
    </row>
    <row r="72" spans="1:14">
      <c r="A72" s="13" t="s">
        <v>118</v>
      </c>
      <c r="B72" s="14" t="s">
        <v>47</v>
      </c>
      <c r="C72" s="14"/>
      <c r="D72" s="14" t="s">
        <v>279</v>
      </c>
      <c r="E72" s="15" t="s">
        <v>286</v>
      </c>
      <c r="F72" s="14">
        <v>1946</v>
      </c>
      <c r="G72" s="14">
        <v>231</v>
      </c>
      <c r="H72" s="14">
        <v>5323</v>
      </c>
      <c r="I72" s="14" t="s">
        <v>280</v>
      </c>
      <c r="J72" s="14"/>
      <c r="K72" s="14">
        <v>361371</v>
      </c>
      <c r="L72" t="s">
        <v>118</v>
      </c>
      <c r="N72" t="str">
        <v>USD</v>
      </c>
    </row>
    <row r="73" spans="1:14">
      <c r="A73" s="13" t="s">
        <v>118</v>
      </c>
      <c r="B73" s="14" t="s">
        <v>38</v>
      </c>
      <c r="C73" s="15" t="s">
        <v>169</v>
      </c>
      <c r="D73" s="15" t="s">
        <v>57</v>
      </c>
      <c r="E73" s="15" t="s">
        <v>286</v>
      </c>
      <c r="F73" s="15">
        <v>1926</v>
      </c>
      <c r="G73" s="15">
        <v>272</v>
      </c>
      <c r="H73" s="14">
        <v>5186</v>
      </c>
      <c r="I73" s="15" t="s">
        <v>170</v>
      </c>
      <c r="J73" s="15">
        <v>1926184635</v>
      </c>
      <c r="K73" s="14">
        <v>184635</v>
      </c>
      <c r="L73" t="s">
        <v>118</v>
      </c>
      <c r="N73" t="str">
        <v>UZS</v>
      </c>
    </row>
    <row r="74" spans="1:14">
      <c r="A74" s="13" t="s">
        <v>118</v>
      </c>
      <c r="B74" s="14" t="s">
        <v>38</v>
      </c>
      <c r="C74" s="14" t="s">
        <v>176</v>
      </c>
      <c r="D74" s="14" t="s">
        <v>41</v>
      </c>
      <c r="E74" s="15" t="s">
        <v>286</v>
      </c>
      <c r="F74" s="14">
        <v>1561</v>
      </c>
      <c r="G74" s="14">
        <v>64</v>
      </c>
      <c r="H74" s="14">
        <v>147</v>
      </c>
      <c r="I74" s="14" t="s">
        <v>177</v>
      </c>
      <c r="J74" s="14">
        <v>1561435126</v>
      </c>
      <c r="K74" s="14">
        <v>106311</v>
      </c>
      <c r="L74" t="s">
        <v>118</v>
      </c>
      <c r="N74" t="str">
        <v>XOF</v>
      </c>
    </row>
    <row r="75" spans="1:14">
      <c r="A75" s="13" t="s">
        <v>118</v>
      </c>
      <c r="B75" s="14" t="s">
        <v>38</v>
      </c>
      <c r="C75" s="14" t="s">
        <v>180</v>
      </c>
      <c r="D75" s="14" t="s">
        <v>181</v>
      </c>
      <c r="E75" s="15" t="s">
        <v>286</v>
      </c>
      <c r="F75" s="14">
        <v>1188</v>
      </c>
      <c r="G75" s="14">
        <v>168</v>
      </c>
      <c r="H75" s="14">
        <v>755</v>
      </c>
      <c r="I75" s="14" t="s">
        <v>182</v>
      </c>
      <c r="J75" s="14">
        <v>1188038114</v>
      </c>
      <c r="K75" s="14">
        <v>110566</v>
      </c>
      <c r="L75" t="s">
        <v>118</v>
      </c>
      <c r="N75" t="str">
        <v>ZAR</v>
      </c>
    </row>
    <row r="76" spans="1:14">
      <c r="A76" s="13" t="s">
        <v>118</v>
      </c>
      <c r="B76" s="14" t="s">
        <v>38</v>
      </c>
      <c r="C76" s="14" t="s">
        <v>183</v>
      </c>
      <c r="D76" s="14" t="s">
        <v>184</v>
      </c>
      <c r="E76" s="15" t="s">
        <v>286</v>
      </c>
      <c r="F76" s="14">
        <v>1575</v>
      </c>
      <c r="G76" s="14">
        <v>38</v>
      </c>
      <c r="H76" s="14">
        <v>81</v>
      </c>
      <c r="I76" s="14" t="s">
        <v>177</v>
      </c>
      <c r="J76" s="14">
        <v>1575949025</v>
      </c>
      <c r="K76" s="14">
        <v>110871</v>
      </c>
      <c r="L76" t="s">
        <v>118</v>
      </c>
      <c r="N76" t="str">
        <v>ZWD</v>
      </c>
    </row>
    <row r="77" spans="1:14">
      <c r="A77" s="13" t="s">
        <v>118</v>
      </c>
      <c r="B77" s="14" t="s">
        <v>38</v>
      </c>
      <c r="C77" s="14" t="s">
        <v>188</v>
      </c>
      <c r="D77" s="14" t="s">
        <v>189</v>
      </c>
      <c r="E77" s="15" t="s">
        <v>286</v>
      </c>
      <c r="F77" s="14">
        <v>1811</v>
      </c>
      <c r="G77" s="14">
        <v>23</v>
      </c>
      <c r="H77" s="14">
        <v>56</v>
      </c>
      <c r="I77" s="14" t="s">
        <v>190</v>
      </c>
      <c r="J77" s="14">
        <v>1811435117</v>
      </c>
      <c r="K77" s="14">
        <v>111758</v>
      </c>
      <c r="L77" t="s">
        <v>118</v>
      </c>
    </row>
    <row r="78" spans="1:14">
      <c r="A78" s="13" t="s">
        <v>118</v>
      </c>
      <c r="B78" s="14" t="s">
        <v>38</v>
      </c>
      <c r="C78" s="14" t="s">
        <v>191</v>
      </c>
      <c r="D78" s="14" t="s">
        <v>40</v>
      </c>
      <c r="E78" s="15" t="s">
        <v>286</v>
      </c>
      <c r="F78" s="14">
        <v>1732</v>
      </c>
      <c r="G78" s="14">
        <v>3</v>
      </c>
      <c r="H78" s="14">
        <v>16</v>
      </c>
      <c r="I78" s="14" t="s">
        <v>177</v>
      </c>
      <c r="J78" s="14">
        <v>1732999701</v>
      </c>
      <c r="K78" s="14">
        <v>108521</v>
      </c>
      <c r="L78" t="s">
        <v>118</v>
      </c>
    </row>
    <row r="79" spans="1:14">
      <c r="A79" s="13" t="s">
        <v>118</v>
      </c>
      <c r="B79" s="14" t="s">
        <v>38</v>
      </c>
      <c r="C79" s="14" t="s">
        <v>192</v>
      </c>
      <c r="D79" s="14" t="s">
        <v>193</v>
      </c>
      <c r="E79" s="15" t="s">
        <v>286</v>
      </c>
      <c r="F79" s="14">
        <v>1688</v>
      </c>
      <c r="G79" s="14">
        <v>65</v>
      </c>
      <c r="H79" s="14">
        <v>149</v>
      </c>
      <c r="I79" s="14" t="s">
        <v>194</v>
      </c>
      <c r="J79" s="14">
        <v>1688093219</v>
      </c>
      <c r="K79" s="14">
        <v>108208</v>
      </c>
      <c r="L79" t="s">
        <v>118</v>
      </c>
    </row>
    <row r="80" spans="1:14">
      <c r="A80" s="13" t="s">
        <v>118</v>
      </c>
      <c r="B80" s="14" t="s">
        <v>38</v>
      </c>
      <c r="C80" s="14" t="s">
        <v>199</v>
      </c>
      <c r="D80" s="14" t="s">
        <v>44</v>
      </c>
      <c r="E80" s="15" t="s">
        <v>286</v>
      </c>
      <c r="F80" s="14">
        <v>1006</v>
      </c>
      <c r="G80" s="14">
        <v>15</v>
      </c>
      <c r="H80" s="14">
        <v>46</v>
      </c>
      <c r="I80" s="14" t="s">
        <v>200</v>
      </c>
      <c r="J80" s="14">
        <v>1006435128</v>
      </c>
      <c r="K80" s="14">
        <v>102918</v>
      </c>
      <c r="L80" t="s">
        <v>118</v>
      </c>
    </row>
    <row r="81" spans="1:12">
      <c r="A81" s="13" t="s">
        <v>118</v>
      </c>
      <c r="B81" s="14" t="s">
        <v>38</v>
      </c>
      <c r="C81" s="14" t="s">
        <v>204</v>
      </c>
      <c r="D81" s="14" t="s">
        <v>59</v>
      </c>
      <c r="E81" s="15" t="s">
        <v>286</v>
      </c>
      <c r="F81" s="14">
        <v>1190</v>
      </c>
      <c r="G81" s="14">
        <v>171</v>
      </c>
      <c r="H81" s="14">
        <v>986</v>
      </c>
      <c r="I81" s="14" t="s">
        <v>177</v>
      </c>
      <c r="J81" s="14">
        <v>1190038120</v>
      </c>
      <c r="K81" s="14">
        <v>103950</v>
      </c>
      <c r="L81" t="s">
        <v>118</v>
      </c>
    </row>
    <row r="82" spans="1:12">
      <c r="A82" s="13" t="s">
        <v>118</v>
      </c>
      <c r="B82" s="14" t="s">
        <v>38</v>
      </c>
      <c r="C82" s="14" t="s">
        <v>205</v>
      </c>
      <c r="D82" s="14" t="s">
        <v>205</v>
      </c>
      <c r="E82" s="15" t="s">
        <v>286</v>
      </c>
      <c r="F82" s="14">
        <v>1847</v>
      </c>
      <c r="G82" s="14">
        <v>160</v>
      </c>
      <c r="H82" s="14">
        <v>5072</v>
      </c>
      <c r="I82" s="14" t="s">
        <v>207</v>
      </c>
      <c r="J82" s="14">
        <v>1847038206</v>
      </c>
      <c r="K82" s="14">
        <v>111155</v>
      </c>
      <c r="L82" t="s">
        <v>118</v>
      </c>
    </row>
    <row r="83" spans="1:12">
      <c r="A83" s="13" t="s">
        <v>118</v>
      </c>
      <c r="B83" s="14" t="s">
        <v>38</v>
      </c>
      <c r="C83" s="14" t="s">
        <v>208</v>
      </c>
      <c r="D83" s="14" t="s">
        <v>59</v>
      </c>
      <c r="E83" s="15" t="s">
        <v>286</v>
      </c>
      <c r="F83" s="14">
        <v>1200</v>
      </c>
      <c r="G83" s="14">
        <v>180</v>
      </c>
      <c r="H83" s="14">
        <v>789</v>
      </c>
      <c r="I83" s="14" t="s">
        <v>177</v>
      </c>
      <c r="J83" s="14">
        <v>1200900021</v>
      </c>
      <c r="K83" s="14">
        <v>110599</v>
      </c>
      <c r="L83" t="s">
        <v>118</v>
      </c>
    </row>
    <row r="84" spans="1:12">
      <c r="A84" s="13" t="s">
        <v>118</v>
      </c>
      <c r="B84" s="14" t="s">
        <v>38</v>
      </c>
      <c r="C84" s="14" t="s">
        <v>209</v>
      </c>
      <c r="D84" s="14" t="s">
        <v>59</v>
      </c>
      <c r="E84" s="15" t="s">
        <v>286</v>
      </c>
      <c r="F84" s="14">
        <v>1200</v>
      </c>
      <c r="G84" s="14">
        <v>180</v>
      </c>
      <c r="H84" s="14">
        <v>789</v>
      </c>
      <c r="I84" s="14" t="s">
        <v>177</v>
      </c>
      <c r="J84" s="14">
        <v>1200223363</v>
      </c>
      <c r="K84" s="14">
        <v>223363</v>
      </c>
      <c r="L84" t="s">
        <v>118</v>
      </c>
    </row>
    <row r="85" spans="1:12">
      <c r="A85" s="13" t="s">
        <v>118</v>
      </c>
      <c r="B85" s="14" t="s">
        <v>38</v>
      </c>
      <c r="C85" s="14" t="s">
        <v>210</v>
      </c>
      <c r="D85" s="14" t="s">
        <v>211</v>
      </c>
      <c r="E85" s="15" t="s">
        <v>286</v>
      </c>
      <c r="F85" s="14">
        <v>1761</v>
      </c>
      <c r="G85" s="14">
        <v>42</v>
      </c>
      <c r="H85" s="14">
        <v>96</v>
      </c>
      <c r="I85" s="14" t="s">
        <v>212</v>
      </c>
      <c r="J85" s="14">
        <v>1761900012</v>
      </c>
      <c r="K85" s="14">
        <v>111089</v>
      </c>
      <c r="L85" t="s">
        <v>118</v>
      </c>
    </row>
    <row r="86" spans="1:12">
      <c r="A86" s="13" t="s">
        <v>118</v>
      </c>
      <c r="B86" s="14" t="s">
        <v>38</v>
      </c>
      <c r="C86" s="14" t="s">
        <v>213</v>
      </c>
      <c r="D86" s="14" t="s">
        <v>214</v>
      </c>
      <c r="E86" s="15" t="s">
        <v>286</v>
      </c>
      <c r="F86" s="14">
        <v>1802</v>
      </c>
      <c r="G86" s="14">
        <v>18</v>
      </c>
      <c r="H86" s="14">
        <v>35</v>
      </c>
      <c r="I86" s="14" t="s">
        <v>215</v>
      </c>
      <c r="J86" s="14">
        <v>1802167122</v>
      </c>
      <c r="K86" s="14">
        <v>111132</v>
      </c>
      <c r="L86" t="s">
        <v>118</v>
      </c>
    </row>
    <row r="87" spans="1:12">
      <c r="A87" s="13" t="s">
        <v>118</v>
      </c>
      <c r="B87" s="14" t="s">
        <v>38</v>
      </c>
      <c r="C87" s="14" t="s">
        <v>226</v>
      </c>
      <c r="D87" s="14" t="s">
        <v>227</v>
      </c>
      <c r="E87" s="15" t="s">
        <v>286</v>
      </c>
      <c r="F87" s="14">
        <v>1588</v>
      </c>
      <c r="G87" s="14">
        <v>19</v>
      </c>
      <c r="H87" s="14">
        <v>36</v>
      </c>
      <c r="I87" s="14" t="s">
        <v>177</v>
      </c>
      <c r="J87" s="14">
        <v>1588435124</v>
      </c>
      <c r="K87" s="14">
        <v>110878</v>
      </c>
      <c r="L87" t="s">
        <v>118</v>
      </c>
    </row>
    <row r="88" spans="1:12">
      <c r="A88" s="13" t="s">
        <v>118</v>
      </c>
      <c r="B88" s="14" t="s">
        <v>38</v>
      </c>
      <c r="C88" s="14" t="s">
        <v>228</v>
      </c>
      <c r="D88" s="14" t="s">
        <v>229</v>
      </c>
      <c r="E88" s="15" t="s">
        <v>286</v>
      </c>
      <c r="F88" s="14">
        <v>1078</v>
      </c>
      <c r="G88" s="14">
        <v>86</v>
      </c>
      <c r="H88" s="14">
        <v>227</v>
      </c>
      <c r="I88" s="14" t="s">
        <v>230</v>
      </c>
      <c r="J88" s="14">
        <v>1078073413</v>
      </c>
      <c r="K88" s="14">
        <v>110499</v>
      </c>
      <c r="L88" t="s">
        <v>118</v>
      </c>
    </row>
    <row r="89" spans="1:12">
      <c r="A89" s="13" t="s">
        <v>118</v>
      </c>
      <c r="B89" s="14" t="s">
        <v>38</v>
      </c>
      <c r="C89" s="14" t="s">
        <v>234</v>
      </c>
      <c r="D89" s="14" t="s">
        <v>235</v>
      </c>
      <c r="E89" s="15" t="s">
        <v>286</v>
      </c>
      <c r="F89" s="14">
        <v>1920</v>
      </c>
      <c r="G89" s="14">
        <v>34</v>
      </c>
      <c r="H89" s="14">
        <v>5177</v>
      </c>
      <c r="I89" s="14" t="s">
        <v>177</v>
      </c>
      <c r="J89" s="14">
        <v>1920130500</v>
      </c>
      <c r="K89" s="14">
        <v>130500</v>
      </c>
      <c r="L89" t="s">
        <v>118</v>
      </c>
    </row>
    <row r="90" spans="1:12">
      <c r="A90" s="13" t="s">
        <v>118</v>
      </c>
      <c r="B90" s="14" t="s">
        <v>38</v>
      </c>
      <c r="C90" s="14" t="s">
        <v>234</v>
      </c>
      <c r="D90" s="14" t="s">
        <v>235</v>
      </c>
      <c r="E90" s="15" t="s">
        <v>286</v>
      </c>
      <c r="F90" s="14">
        <v>1920</v>
      </c>
      <c r="G90" s="14">
        <v>34</v>
      </c>
      <c r="H90" s="14">
        <v>5177</v>
      </c>
      <c r="I90" s="14" t="s">
        <v>177</v>
      </c>
      <c r="J90" s="14"/>
      <c r="K90" s="14">
        <v>130965</v>
      </c>
      <c r="L90" t="s">
        <v>118</v>
      </c>
    </row>
    <row r="91" spans="1:12">
      <c r="A91" s="13" t="s">
        <v>118</v>
      </c>
      <c r="B91" s="14" t="s">
        <v>38</v>
      </c>
      <c r="C91" s="14" t="s">
        <v>236</v>
      </c>
      <c r="D91" s="14" t="s">
        <v>43</v>
      </c>
      <c r="E91" s="15" t="s">
        <v>286</v>
      </c>
      <c r="F91" s="14">
        <v>1666</v>
      </c>
      <c r="G91" s="14">
        <v>14</v>
      </c>
      <c r="H91" s="14">
        <v>25</v>
      </c>
      <c r="I91" s="14" t="s">
        <v>237</v>
      </c>
      <c r="J91" s="14">
        <v>1666999965</v>
      </c>
      <c r="K91" s="14">
        <v>107964</v>
      </c>
      <c r="L91" t="s">
        <v>118</v>
      </c>
    </row>
    <row r="92" spans="1:12">
      <c r="A92" s="13" t="s">
        <v>118</v>
      </c>
      <c r="B92" s="14" t="s">
        <v>38</v>
      </c>
      <c r="C92" s="14" t="s">
        <v>238</v>
      </c>
      <c r="D92" s="14" t="s">
        <v>239</v>
      </c>
      <c r="E92" s="15" t="s">
        <v>286</v>
      </c>
      <c r="F92" s="14">
        <v>1804</v>
      </c>
      <c r="G92" s="14">
        <v>17</v>
      </c>
      <c r="H92" s="14">
        <v>34</v>
      </c>
      <c r="I92" s="14" t="s">
        <v>240</v>
      </c>
      <c r="J92" s="14">
        <v>1804322611</v>
      </c>
      <c r="K92" s="14">
        <v>111137</v>
      </c>
      <c r="L92" t="s">
        <v>118</v>
      </c>
    </row>
    <row r="93" spans="1:12">
      <c r="A93" s="13" t="s">
        <v>118</v>
      </c>
      <c r="B93" s="14" t="s">
        <v>38</v>
      </c>
      <c r="C93" s="14" t="s">
        <v>241</v>
      </c>
      <c r="D93" s="14" t="s">
        <v>45</v>
      </c>
      <c r="E93" s="15" t="s">
        <v>286</v>
      </c>
      <c r="F93" s="14">
        <v>1530</v>
      </c>
      <c r="G93" s="14">
        <v>32</v>
      </c>
      <c r="H93" s="14">
        <v>72</v>
      </c>
      <c r="I93" s="14" t="s">
        <v>177</v>
      </c>
      <c r="J93" s="14">
        <v>1530999126</v>
      </c>
      <c r="K93" s="14">
        <v>105926</v>
      </c>
      <c r="L93" t="s">
        <v>118</v>
      </c>
    </row>
    <row r="94" spans="1:12">
      <c r="A94" s="13" t="s">
        <v>118</v>
      </c>
      <c r="B94" s="14" t="s">
        <v>38</v>
      </c>
      <c r="C94" s="14" t="s">
        <v>242</v>
      </c>
      <c r="D94" s="14" t="s">
        <v>46</v>
      </c>
      <c r="E94" s="15" t="s">
        <v>286</v>
      </c>
      <c r="F94" s="14">
        <v>1557</v>
      </c>
      <c r="G94" s="14">
        <v>21</v>
      </c>
      <c r="H94" s="14">
        <v>53</v>
      </c>
      <c r="I94" s="14" t="s">
        <v>177</v>
      </c>
      <c r="J94" s="14">
        <v>1557600632</v>
      </c>
      <c r="K94" s="14">
        <v>106286</v>
      </c>
      <c r="L94" t="s">
        <v>118</v>
      </c>
    </row>
    <row r="95" spans="1:12">
      <c r="A95" s="13" t="s">
        <v>118</v>
      </c>
      <c r="B95" s="14" t="s">
        <v>38</v>
      </c>
      <c r="C95" s="14" t="s">
        <v>243</v>
      </c>
      <c r="D95" s="14" t="s">
        <v>244</v>
      </c>
      <c r="E95" s="15" t="s">
        <v>286</v>
      </c>
      <c r="F95" s="14">
        <v>1817</v>
      </c>
      <c r="G95" s="14">
        <v>85</v>
      </c>
      <c r="H95" s="14">
        <v>5261</v>
      </c>
      <c r="I95" s="14" t="s">
        <v>245</v>
      </c>
      <c r="J95" s="14">
        <v>1817363444</v>
      </c>
      <c r="K95" s="14">
        <v>363444</v>
      </c>
      <c r="L95" t="s">
        <v>118</v>
      </c>
    </row>
    <row r="96" spans="1:12">
      <c r="A96" s="13" t="s">
        <v>118</v>
      </c>
      <c r="B96" s="14" t="s">
        <v>38</v>
      </c>
      <c r="C96" s="14" t="s">
        <v>246</v>
      </c>
      <c r="D96" s="14" t="s">
        <v>247</v>
      </c>
      <c r="E96" s="15" t="s">
        <v>286</v>
      </c>
      <c r="F96" s="14">
        <v>1015</v>
      </c>
      <c r="G96" s="14">
        <v>85</v>
      </c>
      <c r="H96" s="14">
        <v>224</v>
      </c>
      <c r="I96" s="14" t="s">
        <v>248</v>
      </c>
      <c r="J96" s="14">
        <v>1015911955</v>
      </c>
      <c r="K96" s="14">
        <v>110451</v>
      </c>
      <c r="L96" t="s">
        <v>118</v>
      </c>
    </row>
    <row r="97" spans="1:12">
      <c r="A97" s="13" t="s">
        <v>118</v>
      </c>
      <c r="B97" s="14" t="s">
        <v>38</v>
      </c>
      <c r="C97" s="14" t="s">
        <v>251</v>
      </c>
      <c r="D97" s="14" t="s">
        <v>58</v>
      </c>
      <c r="E97" s="15" t="s">
        <v>286</v>
      </c>
      <c r="F97" s="14">
        <v>1758</v>
      </c>
      <c r="G97" s="14">
        <v>4</v>
      </c>
      <c r="H97" s="14">
        <v>14</v>
      </c>
      <c r="I97" s="14" t="s">
        <v>177</v>
      </c>
      <c r="J97" s="14">
        <v>1758900029</v>
      </c>
      <c r="K97" s="14">
        <v>111081</v>
      </c>
      <c r="L97" t="s">
        <v>118</v>
      </c>
    </row>
    <row r="98" spans="1:12">
      <c r="A98" s="13" t="s">
        <v>118</v>
      </c>
      <c r="B98" s="14" t="s">
        <v>38</v>
      </c>
      <c r="C98" s="14" t="s">
        <v>255</v>
      </c>
      <c r="D98" s="14" t="s">
        <v>256</v>
      </c>
      <c r="E98" s="15" t="s">
        <v>286</v>
      </c>
      <c r="F98" s="14">
        <v>1781</v>
      </c>
      <c r="G98" s="14">
        <v>43</v>
      </c>
      <c r="H98" s="14">
        <v>99</v>
      </c>
      <c r="I98" s="14" t="s">
        <v>257</v>
      </c>
      <c r="J98" s="14">
        <v>1781911108</v>
      </c>
      <c r="K98" s="14">
        <v>111106</v>
      </c>
      <c r="L98" t="s">
        <v>118</v>
      </c>
    </row>
    <row r="99" spans="1:12">
      <c r="A99" s="13" t="s">
        <v>118</v>
      </c>
      <c r="B99" s="14" t="s">
        <v>38</v>
      </c>
      <c r="C99" s="14" t="s">
        <v>261</v>
      </c>
      <c r="D99" s="14" t="s">
        <v>262</v>
      </c>
      <c r="E99" s="15" t="s">
        <v>286</v>
      </c>
      <c r="F99" s="14">
        <v>1653</v>
      </c>
      <c r="G99" s="14">
        <v>11</v>
      </c>
      <c r="H99" s="14">
        <v>15</v>
      </c>
      <c r="I99" s="14" t="s">
        <v>177</v>
      </c>
      <c r="J99" s="14">
        <v>1653435126</v>
      </c>
      <c r="K99" s="14">
        <v>110968</v>
      </c>
      <c r="L99" t="s">
        <v>118</v>
      </c>
    </row>
    <row r="100" spans="1:12">
      <c r="A100" s="13" t="s">
        <v>118</v>
      </c>
      <c r="B100" s="14" t="s">
        <v>38</v>
      </c>
      <c r="C100" s="14" t="s">
        <v>263</v>
      </c>
      <c r="D100" s="14" t="s">
        <v>264</v>
      </c>
      <c r="E100" s="15" t="s">
        <v>286</v>
      </c>
      <c r="F100" s="14">
        <v>1185</v>
      </c>
      <c r="G100" s="14">
        <v>162</v>
      </c>
      <c r="H100" s="14">
        <v>730</v>
      </c>
      <c r="I100" s="14" t="s">
        <v>265</v>
      </c>
      <c r="J100" s="14">
        <v>1185038111</v>
      </c>
      <c r="K100" s="14">
        <v>110563</v>
      </c>
      <c r="L100" t="s">
        <v>118</v>
      </c>
    </row>
    <row r="101" spans="1:12">
      <c r="A101" s="13" t="s">
        <v>118</v>
      </c>
      <c r="B101" s="14" t="s">
        <v>38</v>
      </c>
      <c r="C101" s="14" t="s">
        <v>266</v>
      </c>
      <c r="D101" s="14" t="s">
        <v>56</v>
      </c>
      <c r="E101" s="15" t="s">
        <v>286</v>
      </c>
      <c r="F101" s="14">
        <v>1953</v>
      </c>
      <c r="G101" s="14">
        <v>51</v>
      </c>
      <c r="H101" s="14">
        <v>5358</v>
      </c>
      <c r="I101" s="14" t="s">
        <v>177</v>
      </c>
      <c r="J101" s="14">
        <v>1953393304</v>
      </c>
      <c r="K101" s="14">
        <v>393304</v>
      </c>
      <c r="L101" t="s">
        <v>118</v>
      </c>
    </row>
    <row r="102" spans="1:12">
      <c r="A102" s="13" t="s">
        <v>118</v>
      </c>
      <c r="B102" s="14" t="s">
        <v>38</v>
      </c>
      <c r="C102" s="14" t="s">
        <v>267</v>
      </c>
      <c r="D102" s="14" t="s">
        <v>56</v>
      </c>
      <c r="E102" s="15" t="s">
        <v>286</v>
      </c>
      <c r="F102" s="14">
        <v>1953</v>
      </c>
      <c r="G102" s="14">
        <v>51</v>
      </c>
      <c r="H102" s="14">
        <v>5358</v>
      </c>
      <c r="I102" s="14" t="s">
        <v>177</v>
      </c>
      <c r="J102" s="14">
        <v>1953393307</v>
      </c>
      <c r="K102" s="14">
        <v>393307</v>
      </c>
      <c r="L102" t="s">
        <v>118</v>
      </c>
    </row>
    <row r="103" spans="1:12">
      <c r="A103" s="13" t="s">
        <v>118</v>
      </c>
      <c r="B103" s="14" t="s">
        <v>38</v>
      </c>
      <c r="C103" s="14" t="s">
        <v>268</v>
      </c>
      <c r="D103" s="14" t="s">
        <v>269</v>
      </c>
      <c r="E103" s="15" t="s">
        <v>286</v>
      </c>
      <c r="F103" s="14">
        <v>1911</v>
      </c>
      <c r="G103" s="14">
        <v>245</v>
      </c>
      <c r="H103" s="14">
        <v>1414</v>
      </c>
      <c r="I103" s="14" t="s">
        <v>177</v>
      </c>
      <c r="J103" s="14">
        <v>1911435136</v>
      </c>
      <c r="K103" s="14">
        <v>111209</v>
      </c>
      <c r="L103" t="s">
        <v>118</v>
      </c>
    </row>
    <row r="104" spans="1:12">
      <c r="A104" s="13" t="s">
        <v>118</v>
      </c>
      <c r="B104" s="14" t="s">
        <v>38</v>
      </c>
      <c r="C104" s="14" t="s">
        <v>273</v>
      </c>
      <c r="D104" s="14" t="s">
        <v>39</v>
      </c>
      <c r="E104" s="15" t="s">
        <v>286</v>
      </c>
      <c r="F104" s="14">
        <v>1583</v>
      </c>
      <c r="G104" s="14">
        <v>22</v>
      </c>
      <c r="H104" s="14">
        <v>55</v>
      </c>
      <c r="I104" s="14" t="s">
        <v>177</v>
      </c>
      <c r="J104" s="14">
        <v>1583435122</v>
      </c>
      <c r="K104" s="14">
        <v>106441</v>
      </c>
      <c r="L104" t="s">
        <v>118</v>
      </c>
    </row>
    <row r="105" spans="1:12">
      <c r="A105" s="13" t="s">
        <v>118</v>
      </c>
      <c r="B105" s="14" t="s">
        <v>38</v>
      </c>
      <c r="C105" s="14" t="s">
        <v>274</v>
      </c>
      <c r="D105" s="14" t="s">
        <v>42</v>
      </c>
      <c r="E105" s="15" t="s">
        <v>286</v>
      </c>
      <c r="F105" s="14">
        <v>1072</v>
      </c>
      <c r="G105" s="14">
        <v>41</v>
      </c>
      <c r="H105" s="14">
        <v>94</v>
      </c>
      <c r="I105" s="14" t="s">
        <v>275</v>
      </c>
      <c r="J105" s="14">
        <v>1072999617</v>
      </c>
      <c r="K105" s="14">
        <v>103134</v>
      </c>
      <c r="L105" t="s">
        <v>118</v>
      </c>
    </row>
    <row r="106" spans="1:12">
      <c r="A106" s="13" t="s">
        <v>118</v>
      </c>
      <c r="B106" s="14" t="s">
        <v>38</v>
      </c>
      <c r="C106" s="14" t="s">
        <v>276</v>
      </c>
      <c r="D106" s="14" t="s">
        <v>277</v>
      </c>
      <c r="E106" s="15" t="s">
        <v>286</v>
      </c>
      <c r="F106" s="14">
        <v>1936</v>
      </c>
      <c r="G106" s="14">
        <v>52</v>
      </c>
      <c r="H106" s="14">
        <v>5269</v>
      </c>
      <c r="I106" s="14" t="s">
        <v>278</v>
      </c>
      <c r="J106" s="14">
        <v>1936303759</v>
      </c>
      <c r="K106" s="14">
        <v>303759</v>
      </c>
      <c r="L106" t="s">
        <v>118</v>
      </c>
    </row>
    <row r="107" spans="1:12">
      <c r="A107" s="14" t="s">
        <v>342</v>
      </c>
      <c r="B107" s="14" t="s">
        <v>366</v>
      </c>
      <c r="C107" s="14" t="s">
        <v>376</v>
      </c>
      <c r="D107" s="14"/>
      <c r="E107" s="14"/>
      <c r="F107" s="17">
        <v>801</v>
      </c>
      <c r="G107" s="17">
        <v>10</v>
      </c>
      <c r="H107" s="17">
        <v>8</v>
      </c>
      <c r="I107" s="14" t="s">
        <v>292</v>
      </c>
      <c r="J107" s="14">
        <v>801002246</v>
      </c>
      <c r="K107" s="14">
        <v>101773</v>
      </c>
      <c r="L107" t="s">
        <v>375</v>
      </c>
    </row>
    <row r="108" spans="1:12">
      <c r="A108" s="16" t="s">
        <v>342</v>
      </c>
      <c r="B108" s="14" t="s">
        <v>366</v>
      </c>
      <c r="C108" s="16" t="s">
        <v>379</v>
      </c>
      <c r="D108" s="16" t="s">
        <v>361</v>
      </c>
      <c r="E108" s="16"/>
      <c r="F108" s="17">
        <v>801</v>
      </c>
      <c r="G108" s="17">
        <v>10</v>
      </c>
      <c r="H108" s="17">
        <v>8</v>
      </c>
      <c r="I108" s="14" t="s">
        <v>292</v>
      </c>
      <c r="J108" s="14">
        <v>801029649</v>
      </c>
      <c r="K108" s="16">
        <v>102198</v>
      </c>
      <c r="L108" t="s">
        <v>375</v>
      </c>
    </row>
    <row r="109" spans="1:12">
      <c r="A109" s="14" t="s">
        <v>342</v>
      </c>
      <c r="B109" s="14" t="s">
        <v>366</v>
      </c>
      <c r="C109" s="16" t="s">
        <v>377</v>
      </c>
      <c r="D109" s="16" t="s">
        <v>361</v>
      </c>
      <c r="E109" s="16"/>
      <c r="F109" s="17">
        <v>801</v>
      </c>
      <c r="G109" s="17">
        <v>10</v>
      </c>
      <c r="H109" s="17">
        <v>8</v>
      </c>
      <c r="I109" s="14" t="s">
        <v>292</v>
      </c>
      <c r="J109" s="14">
        <v>801006685</v>
      </c>
      <c r="K109" s="14">
        <v>101805</v>
      </c>
      <c r="L109" t="s">
        <v>375</v>
      </c>
    </row>
    <row r="110" spans="1:12">
      <c r="A110" s="16" t="s">
        <v>342</v>
      </c>
      <c r="B110" s="14" t="s">
        <v>366</v>
      </c>
      <c r="C110" s="16" t="s">
        <v>378</v>
      </c>
      <c r="D110" s="16" t="s">
        <v>361</v>
      </c>
      <c r="E110" s="16"/>
      <c r="F110" s="17">
        <v>801</v>
      </c>
      <c r="G110" s="17">
        <v>10</v>
      </c>
      <c r="H110" s="17">
        <v>8</v>
      </c>
      <c r="I110" s="14" t="s">
        <v>292</v>
      </c>
      <c r="J110" s="14">
        <v>801009339</v>
      </c>
      <c r="K110" s="16">
        <v>101903</v>
      </c>
      <c r="L110" t="s">
        <v>375</v>
      </c>
    </row>
    <row r="111" spans="1:12">
      <c r="A111" s="14" t="s">
        <v>120</v>
      </c>
      <c r="B111" s="14" t="s">
        <v>60</v>
      </c>
      <c r="C111" s="14" t="s">
        <v>399</v>
      </c>
      <c r="D111" s="14" t="s">
        <v>400</v>
      </c>
      <c r="E111" s="14"/>
      <c r="F111" s="14">
        <v>1795</v>
      </c>
      <c r="G111" s="14">
        <v>102</v>
      </c>
      <c r="H111" s="14">
        <v>332</v>
      </c>
      <c r="I111" s="14" t="s">
        <v>401</v>
      </c>
      <c r="J111" s="14">
        <v>1795332921</v>
      </c>
      <c r="K111" s="14">
        <v>109459</v>
      </c>
      <c r="L111" t="s">
        <v>120</v>
      </c>
    </row>
    <row r="112" spans="1:12">
      <c r="A112" s="14" t="s">
        <v>120</v>
      </c>
      <c r="B112" s="14" t="s">
        <v>60</v>
      </c>
      <c r="C112" s="14" t="s">
        <v>390</v>
      </c>
      <c r="D112" s="14" t="s">
        <v>390</v>
      </c>
      <c r="E112" s="14"/>
      <c r="F112" s="14">
        <v>1799</v>
      </c>
      <c r="G112" s="14">
        <v>102</v>
      </c>
      <c r="H112" s="14">
        <v>304</v>
      </c>
      <c r="I112" s="14" t="s">
        <v>391</v>
      </c>
      <c r="J112" s="14">
        <v>1799304701</v>
      </c>
      <c r="K112" s="14">
        <v>109548</v>
      </c>
      <c r="L112" t="s">
        <v>120</v>
      </c>
    </row>
    <row r="113" spans="1:12">
      <c r="A113" s="14" t="s">
        <v>120</v>
      </c>
      <c r="B113" s="14" t="s">
        <v>60</v>
      </c>
      <c r="C113" s="14" t="s">
        <v>420</v>
      </c>
      <c r="D113" s="14" t="s">
        <v>421</v>
      </c>
      <c r="E113" s="14"/>
      <c r="F113" s="14">
        <v>1796</v>
      </c>
      <c r="G113" s="14">
        <v>140</v>
      </c>
      <c r="H113" s="14">
        <v>430</v>
      </c>
      <c r="I113" s="14" t="s">
        <v>422</v>
      </c>
      <c r="J113" s="14">
        <v>1796431610</v>
      </c>
      <c r="K113" s="14">
        <v>109500</v>
      </c>
      <c r="L113" t="s">
        <v>120</v>
      </c>
    </row>
    <row r="114" spans="1:12">
      <c r="A114" s="14" t="s">
        <v>120</v>
      </c>
      <c r="B114" s="14" t="s">
        <v>60</v>
      </c>
      <c r="C114" s="14" t="s">
        <v>387</v>
      </c>
      <c r="D114" s="14" t="s">
        <v>388</v>
      </c>
      <c r="E114" s="14"/>
      <c r="F114" s="14">
        <v>1084</v>
      </c>
      <c r="G114" s="14">
        <v>102</v>
      </c>
      <c r="H114" s="14">
        <v>298</v>
      </c>
      <c r="I114" s="14" t="s">
        <v>389</v>
      </c>
      <c r="J114" s="14">
        <v>1084239785</v>
      </c>
      <c r="K114" s="14">
        <v>239785</v>
      </c>
      <c r="L114" t="s">
        <v>120</v>
      </c>
    </row>
    <row r="115" spans="1:12">
      <c r="A115" s="14" t="s">
        <v>120</v>
      </c>
      <c r="B115" s="14" t="s">
        <v>60</v>
      </c>
      <c r="C115" s="14" t="s">
        <v>397</v>
      </c>
      <c r="D115" s="14" t="s">
        <v>398</v>
      </c>
      <c r="E115" s="14"/>
      <c r="F115" s="14">
        <v>1762</v>
      </c>
      <c r="G115" s="14">
        <v>102</v>
      </c>
      <c r="H115" s="14">
        <v>459</v>
      </c>
      <c r="I115" s="14" t="s">
        <v>292</v>
      </c>
      <c r="J115" s="14">
        <v>1762459907</v>
      </c>
      <c r="K115" s="14">
        <v>108999</v>
      </c>
      <c r="L115" t="s">
        <v>120</v>
      </c>
    </row>
    <row r="116" spans="1:12">
      <c r="A116" s="14" t="s">
        <v>120</v>
      </c>
      <c r="B116" s="14" t="s">
        <v>60</v>
      </c>
      <c r="C116" s="14" t="s">
        <v>392</v>
      </c>
      <c r="D116" s="14" t="s">
        <v>393</v>
      </c>
      <c r="E116" s="14"/>
      <c r="F116" s="14">
        <v>1129</v>
      </c>
      <c r="G116" s="14">
        <v>102</v>
      </c>
      <c r="H116" s="14">
        <v>308</v>
      </c>
      <c r="I116" s="14" t="s">
        <v>292</v>
      </c>
      <c r="J116" s="14">
        <v>1129308641</v>
      </c>
      <c r="K116" s="14">
        <v>103442</v>
      </c>
      <c r="L116" t="s">
        <v>120</v>
      </c>
    </row>
    <row r="117" spans="1:12">
      <c r="A117" s="14" t="s">
        <v>120</v>
      </c>
      <c r="B117" s="14" t="s">
        <v>60</v>
      </c>
      <c r="C117" s="14" t="s">
        <v>394</v>
      </c>
      <c r="D117" s="14" t="s">
        <v>395</v>
      </c>
      <c r="E117" s="14"/>
      <c r="F117" s="14">
        <v>1798</v>
      </c>
      <c r="G117" s="14">
        <v>102</v>
      </c>
      <c r="H117" s="14">
        <v>306</v>
      </c>
      <c r="I117" s="14" t="s">
        <v>396</v>
      </c>
      <c r="J117" s="14">
        <v>1798306913</v>
      </c>
      <c r="K117" s="14">
        <v>109535</v>
      </c>
      <c r="L117" t="s">
        <v>120</v>
      </c>
    </row>
    <row r="118" spans="1:12">
      <c r="A118" s="14" t="s">
        <v>120</v>
      </c>
      <c r="B118" s="14" t="s">
        <v>62</v>
      </c>
      <c r="C118" s="14" t="s">
        <v>406</v>
      </c>
      <c r="D118" s="14" t="s">
        <v>403</v>
      </c>
      <c r="E118" s="14"/>
      <c r="F118" s="14">
        <v>1665</v>
      </c>
      <c r="G118" s="14">
        <v>84</v>
      </c>
      <c r="H118" s="14">
        <v>215</v>
      </c>
      <c r="I118" s="14" t="s">
        <v>404</v>
      </c>
      <c r="J118" s="14">
        <v>1665753016</v>
      </c>
      <c r="K118" s="14">
        <v>107811</v>
      </c>
      <c r="L118" t="s">
        <v>120</v>
      </c>
    </row>
    <row r="119" spans="1:12">
      <c r="A119" s="14" t="s">
        <v>120</v>
      </c>
      <c r="B119" s="14" t="s">
        <v>62</v>
      </c>
      <c r="C119" s="14" t="s">
        <v>402</v>
      </c>
      <c r="D119" s="14" t="s">
        <v>403</v>
      </c>
      <c r="E119" s="14"/>
      <c r="F119" s="14">
        <v>1665</v>
      </c>
      <c r="G119" s="14">
        <v>83</v>
      </c>
      <c r="H119" s="14">
        <v>215</v>
      </c>
      <c r="I119" s="14" t="s">
        <v>404</v>
      </c>
      <c r="J119" s="14">
        <v>1665753012</v>
      </c>
      <c r="K119" s="14">
        <v>107807</v>
      </c>
      <c r="L119" t="s">
        <v>120</v>
      </c>
    </row>
    <row r="120" spans="1:12">
      <c r="A120" s="14" t="s">
        <v>120</v>
      </c>
      <c r="B120" s="14" t="s">
        <v>62</v>
      </c>
      <c r="C120" s="14" t="s">
        <v>405</v>
      </c>
      <c r="D120" s="14" t="s">
        <v>403</v>
      </c>
      <c r="E120" s="14"/>
      <c r="F120" s="14">
        <v>1665</v>
      </c>
      <c r="G120" s="14">
        <v>84</v>
      </c>
      <c r="H120" s="14">
        <v>215</v>
      </c>
      <c r="I120" s="14" t="s">
        <v>404</v>
      </c>
      <c r="J120" s="14">
        <v>1665753015</v>
      </c>
      <c r="K120" s="14">
        <v>107810</v>
      </c>
      <c r="L120" t="s">
        <v>120</v>
      </c>
    </row>
    <row r="121" spans="1:12">
      <c r="A121" s="14" t="s">
        <v>120</v>
      </c>
      <c r="B121" s="14" t="s">
        <v>62</v>
      </c>
      <c r="C121" s="14" t="s">
        <v>407</v>
      </c>
      <c r="D121" s="14" t="s">
        <v>403</v>
      </c>
      <c r="E121" s="14"/>
      <c r="F121" s="14">
        <v>1665</v>
      </c>
      <c r="G121" s="14">
        <v>84</v>
      </c>
      <c r="H121" s="14">
        <v>215</v>
      </c>
      <c r="I121" s="14" t="s">
        <v>404</v>
      </c>
      <c r="J121" s="14">
        <v>1665753018</v>
      </c>
      <c r="K121" s="14">
        <v>107813</v>
      </c>
      <c r="L121" t="s">
        <v>120</v>
      </c>
    </row>
    <row r="122" spans="1:12">
      <c r="A122" s="14" t="s">
        <v>120</v>
      </c>
      <c r="B122" s="14" t="s">
        <v>62</v>
      </c>
      <c r="C122" s="14" t="s">
        <v>407</v>
      </c>
      <c r="D122" s="14" t="s">
        <v>403</v>
      </c>
      <c r="E122" s="14"/>
      <c r="F122" s="14">
        <v>1665</v>
      </c>
      <c r="G122" s="14">
        <v>84</v>
      </c>
      <c r="H122" s="14">
        <v>215</v>
      </c>
      <c r="I122" s="14" t="s">
        <v>404</v>
      </c>
      <c r="J122" s="14">
        <v>1665753018</v>
      </c>
      <c r="K122" s="14">
        <v>107813</v>
      </c>
      <c r="L122" t="s">
        <v>120</v>
      </c>
    </row>
    <row r="123" spans="1:12">
      <c r="A123" s="14" t="s">
        <v>120</v>
      </c>
      <c r="B123" s="14" t="s">
        <v>62</v>
      </c>
      <c r="C123" s="14" t="s">
        <v>407</v>
      </c>
      <c r="D123" s="14" t="s">
        <v>403</v>
      </c>
      <c r="E123" s="14"/>
      <c r="F123" s="14">
        <v>1665</v>
      </c>
      <c r="G123" s="14">
        <v>84</v>
      </c>
      <c r="H123" s="14">
        <v>215</v>
      </c>
      <c r="I123" s="14" t="s">
        <v>404</v>
      </c>
      <c r="J123" s="14">
        <v>1665753018</v>
      </c>
      <c r="K123" s="14">
        <v>107813</v>
      </c>
      <c r="L123" t="s">
        <v>120</v>
      </c>
    </row>
    <row r="124" spans="1:12">
      <c r="A124" s="14" t="s">
        <v>120</v>
      </c>
      <c r="B124" s="14" t="s">
        <v>61</v>
      </c>
      <c r="C124" s="14" t="s">
        <v>408</v>
      </c>
      <c r="D124" s="14" t="s">
        <v>409</v>
      </c>
      <c r="E124" s="14"/>
      <c r="F124" s="14">
        <v>1775</v>
      </c>
      <c r="G124" s="14">
        <v>45</v>
      </c>
      <c r="H124" s="14">
        <v>106</v>
      </c>
      <c r="I124" s="14" t="s">
        <v>410</v>
      </c>
      <c r="J124" s="14">
        <v>1775110670</v>
      </c>
      <c r="K124" s="14">
        <v>109248</v>
      </c>
      <c r="L124" t="s">
        <v>120</v>
      </c>
    </row>
    <row r="125" spans="1:12">
      <c r="A125" s="14" t="s">
        <v>120</v>
      </c>
      <c r="B125" s="14" t="s">
        <v>61</v>
      </c>
      <c r="C125" s="14" t="s">
        <v>411</v>
      </c>
      <c r="D125" s="14" t="s">
        <v>409</v>
      </c>
      <c r="E125" s="14"/>
      <c r="F125" s="14">
        <v>1775</v>
      </c>
      <c r="G125" s="14">
        <v>45</v>
      </c>
      <c r="H125" s="14">
        <v>108</v>
      </c>
      <c r="I125" s="14" t="s">
        <v>410</v>
      </c>
      <c r="J125" s="14">
        <v>1775110671</v>
      </c>
      <c r="K125" s="14">
        <v>109249</v>
      </c>
      <c r="L125" t="s">
        <v>120</v>
      </c>
    </row>
    <row r="126" spans="1:12">
      <c r="A126" s="14" t="s">
        <v>120</v>
      </c>
      <c r="B126" s="14" t="s">
        <v>61</v>
      </c>
      <c r="C126" s="14" t="s">
        <v>413</v>
      </c>
      <c r="D126" s="14" t="s">
        <v>409</v>
      </c>
      <c r="E126" s="14"/>
      <c r="F126" s="14">
        <v>1775</v>
      </c>
      <c r="G126" s="14">
        <v>45</v>
      </c>
      <c r="H126" s="14">
        <v>109</v>
      </c>
      <c r="I126" s="14" t="s">
        <v>410</v>
      </c>
      <c r="J126" s="14">
        <v>1775110673</v>
      </c>
      <c r="K126" s="14">
        <v>109251</v>
      </c>
      <c r="L126" t="s">
        <v>120</v>
      </c>
    </row>
    <row r="127" spans="1:12">
      <c r="A127" s="14" t="s">
        <v>120</v>
      </c>
      <c r="B127" s="14" t="s">
        <v>61</v>
      </c>
      <c r="C127" s="14" t="s">
        <v>423</v>
      </c>
      <c r="D127" s="14" t="s">
        <v>424</v>
      </c>
      <c r="E127" s="14"/>
      <c r="F127" s="14">
        <v>1735</v>
      </c>
      <c r="G127" s="14">
        <v>144</v>
      </c>
      <c r="H127" s="14">
        <v>436</v>
      </c>
      <c r="I127" s="14" t="s">
        <v>425</v>
      </c>
      <c r="J127" s="14">
        <v>1735436908</v>
      </c>
      <c r="K127" s="14">
        <v>108650</v>
      </c>
      <c r="L127" t="s">
        <v>120</v>
      </c>
    </row>
    <row r="128" spans="1:12">
      <c r="A128" s="14" t="s">
        <v>120</v>
      </c>
      <c r="B128" s="14" t="s">
        <v>61</v>
      </c>
      <c r="C128" s="14" t="s">
        <v>417</v>
      </c>
      <c r="D128" s="14" t="s">
        <v>418</v>
      </c>
      <c r="E128" s="14"/>
      <c r="F128" s="14">
        <v>1618</v>
      </c>
      <c r="G128" s="14">
        <v>142</v>
      </c>
      <c r="H128" s="14">
        <v>427</v>
      </c>
      <c r="I128" s="14" t="s">
        <v>419</v>
      </c>
      <c r="J128" s="14">
        <v>1618761624</v>
      </c>
      <c r="K128" s="14">
        <v>106966</v>
      </c>
      <c r="L128" t="s">
        <v>120</v>
      </c>
    </row>
    <row r="129" spans="1:12">
      <c r="A129" s="14" t="s">
        <v>120</v>
      </c>
      <c r="B129" s="14" t="s">
        <v>61</v>
      </c>
      <c r="C129" s="14" t="s">
        <v>417</v>
      </c>
      <c r="D129" s="14" t="s">
        <v>418</v>
      </c>
      <c r="E129" s="14"/>
      <c r="F129" s="14">
        <v>1618</v>
      </c>
      <c r="G129" s="14">
        <v>142</v>
      </c>
      <c r="H129" s="14">
        <v>427</v>
      </c>
      <c r="I129" s="14" t="s">
        <v>419</v>
      </c>
      <c r="J129" s="14">
        <v>1618761624</v>
      </c>
      <c r="K129" s="14">
        <v>106966</v>
      </c>
      <c r="L129" t="s">
        <v>120</v>
      </c>
    </row>
    <row r="130" spans="1:12">
      <c r="A130" s="14" t="s">
        <v>120</v>
      </c>
      <c r="B130" s="14" t="s">
        <v>61</v>
      </c>
      <c r="C130" s="14" t="s">
        <v>412</v>
      </c>
      <c r="D130" s="14" t="s">
        <v>409</v>
      </c>
      <c r="E130" s="14"/>
      <c r="F130" s="14">
        <v>1775</v>
      </c>
      <c r="G130" s="14">
        <v>45</v>
      </c>
      <c r="H130" s="14">
        <v>105</v>
      </c>
      <c r="I130" s="14" t="s">
        <v>410</v>
      </c>
      <c r="J130" s="14">
        <v>1775110672</v>
      </c>
      <c r="K130" s="14">
        <v>109250</v>
      </c>
      <c r="L130" t="s">
        <v>120</v>
      </c>
    </row>
    <row r="131" spans="1:12">
      <c r="A131" s="14" t="s">
        <v>120</v>
      </c>
      <c r="B131" s="14" t="s">
        <v>61</v>
      </c>
      <c r="C131" s="14" t="s">
        <v>414</v>
      </c>
      <c r="D131" s="14" t="s">
        <v>415</v>
      </c>
      <c r="E131" s="14"/>
      <c r="F131" s="14">
        <v>1301</v>
      </c>
      <c r="G131" s="14">
        <v>145</v>
      </c>
      <c r="H131" s="14">
        <v>420</v>
      </c>
      <c r="I131" s="14" t="s">
        <v>416</v>
      </c>
      <c r="J131" s="14">
        <v>1301463669</v>
      </c>
      <c r="K131" s="14">
        <v>104765</v>
      </c>
      <c r="L131" t="s">
        <v>120</v>
      </c>
    </row>
    <row r="132" spans="1:12">
      <c r="A132" s="14" t="s">
        <v>342</v>
      </c>
      <c r="B132" s="14" t="s">
        <v>366</v>
      </c>
      <c r="C132" s="14" t="s">
        <v>367</v>
      </c>
      <c r="D132" s="14"/>
      <c r="E132" s="14"/>
      <c r="F132" s="17">
        <v>801</v>
      </c>
      <c r="G132" s="17"/>
      <c r="H132" s="17"/>
      <c r="I132" s="14" t="s">
        <v>292</v>
      </c>
      <c r="J132" s="14">
        <v>801029372</v>
      </c>
      <c r="K132" s="14">
        <v>102056</v>
      </c>
      <c r="L132" t="s">
        <v>121</v>
      </c>
    </row>
    <row r="133" spans="1:12">
      <c r="A133" s="14" t="s">
        <v>342</v>
      </c>
      <c r="B133" s="14" t="s">
        <v>366</v>
      </c>
      <c r="C133" s="14" t="s">
        <v>371</v>
      </c>
      <c r="D133" s="14"/>
      <c r="E133" s="14"/>
      <c r="F133" s="17">
        <v>801</v>
      </c>
      <c r="G133" s="17">
        <v>10</v>
      </c>
      <c r="H133" s="17">
        <v>8</v>
      </c>
      <c r="I133" s="14" t="s">
        <v>292</v>
      </c>
      <c r="J133" s="14">
        <v>801133546</v>
      </c>
      <c r="K133" s="14">
        <v>133546</v>
      </c>
      <c r="L133" t="s">
        <v>121</v>
      </c>
    </row>
    <row r="134" spans="1:12">
      <c r="A134" s="14" t="s">
        <v>342</v>
      </c>
      <c r="B134" s="14" t="s">
        <v>356</v>
      </c>
      <c r="C134" s="16" t="s">
        <v>384</v>
      </c>
      <c r="D134" s="16"/>
      <c r="E134" s="16"/>
      <c r="F134" s="17">
        <v>101</v>
      </c>
      <c r="G134" s="17">
        <v>10</v>
      </c>
      <c r="H134" s="17">
        <v>1410</v>
      </c>
      <c r="I134" s="14" t="s">
        <v>292</v>
      </c>
      <c r="J134" s="14">
        <v>101206435</v>
      </c>
      <c r="K134" s="16">
        <v>206435</v>
      </c>
      <c r="L134" t="s">
        <v>121</v>
      </c>
    </row>
    <row r="135" spans="1:12">
      <c r="A135" s="14" t="s">
        <v>342</v>
      </c>
      <c r="B135" s="14" t="s">
        <v>356</v>
      </c>
      <c r="C135" s="14" t="s">
        <v>363</v>
      </c>
      <c r="D135" s="14"/>
      <c r="E135" s="14"/>
      <c r="F135" s="17">
        <v>801</v>
      </c>
      <c r="G135" s="17"/>
      <c r="H135" s="17"/>
      <c r="I135" s="14" t="s">
        <v>292</v>
      </c>
      <c r="J135" s="14">
        <v>801009121</v>
      </c>
      <c r="K135" s="14">
        <v>110357</v>
      </c>
      <c r="L135" t="s">
        <v>121</v>
      </c>
    </row>
    <row r="136" spans="1:12">
      <c r="A136" s="14" t="s">
        <v>342</v>
      </c>
      <c r="B136" s="14" t="s">
        <v>356</v>
      </c>
      <c r="C136" s="14" t="s">
        <v>364</v>
      </c>
      <c r="D136" s="14"/>
      <c r="E136" s="14"/>
      <c r="F136" s="17">
        <v>801</v>
      </c>
      <c r="G136" s="17"/>
      <c r="H136" s="17"/>
      <c r="I136" s="14" t="s">
        <v>292</v>
      </c>
      <c r="J136" s="14">
        <v>801009171</v>
      </c>
      <c r="K136" s="14">
        <v>101874</v>
      </c>
      <c r="L136" t="s">
        <v>121</v>
      </c>
    </row>
    <row r="137" spans="1:12">
      <c r="A137" s="14" t="s">
        <v>342</v>
      </c>
      <c r="B137" s="14" t="s">
        <v>356</v>
      </c>
      <c r="C137" s="16" t="s">
        <v>380</v>
      </c>
      <c r="D137" s="16"/>
      <c r="E137" s="16"/>
      <c r="F137" s="17">
        <v>101</v>
      </c>
      <c r="G137" s="17">
        <v>10</v>
      </c>
      <c r="H137" s="17">
        <v>1410</v>
      </c>
      <c r="I137" s="14" t="s">
        <v>292</v>
      </c>
      <c r="J137" s="14">
        <v>101206431</v>
      </c>
      <c r="K137" s="16">
        <v>206431</v>
      </c>
      <c r="L137" t="s">
        <v>121</v>
      </c>
    </row>
    <row r="138" spans="1:12">
      <c r="A138" s="14" t="s">
        <v>342</v>
      </c>
      <c r="B138" s="14" t="s">
        <v>356</v>
      </c>
      <c r="C138" s="16" t="s">
        <v>382</v>
      </c>
      <c r="D138" s="16" t="s">
        <v>352</v>
      </c>
      <c r="E138" s="16"/>
      <c r="F138" s="17">
        <v>101</v>
      </c>
      <c r="G138" s="17"/>
      <c r="H138" s="17"/>
      <c r="I138" s="14" t="s">
        <v>292</v>
      </c>
      <c r="J138" s="14">
        <v>101206433</v>
      </c>
      <c r="K138" s="16">
        <v>206433</v>
      </c>
      <c r="L138" t="s">
        <v>121</v>
      </c>
    </row>
    <row r="139" spans="1:12">
      <c r="A139" s="14" t="s">
        <v>342</v>
      </c>
      <c r="B139" s="14" t="s">
        <v>356</v>
      </c>
      <c r="C139" s="14" t="s">
        <v>357</v>
      </c>
      <c r="D139" s="14" t="s">
        <v>358</v>
      </c>
      <c r="E139" s="14"/>
      <c r="F139" s="17">
        <v>101</v>
      </c>
      <c r="G139" s="17"/>
      <c r="H139" s="17"/>
      <c r="I139" s="14" t="s">
        <v>292</v>
      </c>
      <c r="J139" s="14">
        <v>101273758</v>
      </c>
      <c r="K139" s="14">
        <v>273758</v>
      </c>
      <c r="L139" t="s">
        <v>121</v>
      </c>
    </row>
    <row r="140" spans="1:12">
      <c r="A140" s="14" t="s">
        <v>342</v>
      </c>
      <c r="B140" s="14" t="s">
        <v>356</v>
      </c>
      <c r="C140" s="14" t="s">
        <v>357</v>
      </c>
      <c r="D140" s="14"/>
      <c r="E140" s="14"/>
      <c r="F140" s="17">
        <v>801</v>
      </c>
      <c r="G140" s="17"/>
      <c r="H140" s="17"/>
      <c r="I140" s="14" t="s">
        <v>292</v>
      </c>
      <c r="J140" s="14">
        <v>801029684</v>
      </c>
      <c r="K140" s="14">
        <v>102217</v>
      </c>
      <c r="L140" t="s">
        <v>121</v>
      </c>
    </row>
    <row r="141" spans="1:12">
      <c r="A141" s="14" t="s">
        <v>342</v>
      </c>
      <c r="B141" s="14" t="s">
        <v>356</v>
      </c>
      <c r="C141" s="14" t="s">
        <v>362</v>
      </c>
      <c r="D141" s="14"/>
      <c r="E141" s="14"/>
      <c r="F141" s="17">
        <v>801</v>
      </c>
      <c r="G141" s="17"/>
      <c r="H141" s="17"/>
      <c r="I141" s="14" t="s">
        <v>292</v>
      </c>
      <c r="J141" s="14">
        <v>801002244</v>
      </c>
      <c r="K141" s="14">
        <v>101772</v>
      </c>
      <c r="L141" t="s">
        <v>121</v>
      </c>
    </row>
    <row r="142" spans="1:12">
      <c r="A142" s="14" t="s">
        <v>342</v>
      </c>
      <c r="B142" s="14" t="s">
        <v>356</v>
      </c>
      <c r="C142" s="14" t="s">
        <v>360</v>
      </c>
      <c r="D142" s="14" t="s">
        <v>361</v>
      </c>
      <c r="E142" s="14"/>
      <c r="F142" s="17">
        <v>801</v>
      </c>
      <c r="G142" s="17">
        <v>10</v>
      </c>
      <c r="H142" s="17">
        <v>8</v>
      </c>
      <c r="I142" s="14" t="s">
        <v>292</v>
      </c>
      <c r="J142" s="14">
        <v>801000189</v>
      </c>
      <c r="K142" s="14">
        <v>101753</v>
      </c>
      <c r="L142" t="s">
        <v>121</v>
      </c>
    </row>
    <row r="143" spans="1:12">
      <c r="A143" s="14" t="s">
        <v>342</v>
      </c>
      <c r="B143" s="14" t="s">
        <v>356</v>
      </c>
      <c r="C143" s="14" t="s">
        <v>359</v>
      </c>
      <c r="D143" s="14"/>
      <c r="E143" s="14"/>
      <c r="F143" s="17">
        <v>101</v>
      </c>
      <c r="G143" s="17"/>
      <c r="H143" s="17"/>
      <c r="I143" s="14" t="s">
        <v>292</v>
      </c>
      <c r="J143" s="14">
        <v>101273759</v>
      </c>
      <c r="K143" s="14">
        <v>273759</v>
      </c>
      <c r="L143" t="s">
        <v>121</v>
      </c>
    </row>
    <row r="144" spans="1:12">
      <c r="A144" s="14" t="s">
        <v>342</v>
      </c>
      <c r="B144" s="14" t="s">
        <v>356</v>
      </c>
      <c r="C144" s="14" t="s">
        <v>359</v>
      </c>
      <c r="D144" s="14"/>
      <c r="E144" s="14"/>
      <c r="F144" s="17">
        <v>801</v>
      </c>
      <c r="G144" s="17"/>
      <c r="H144" s="17"/>
      <c r="I144" s="14" t="s">
        <v>292</v>
      </c>
      <c r="J144" s="14">
        <v>801009018</v>
      </c>
      <c r="K144" s="14">
        <v>101848</v>
      </c>
      <c r="L144" t="s">
        <v>121</v>
      </c>
    </row>
    <row r="145" spans="1:12">
      <c r="A145" s="14" t="s">
        <v>342</v>
      </c>
      <c r="B145" s="14" t="s">
        <v>356</v>
      </c>
      <c r="C145" s="16" t="s">
        <v>383</v>
      </c>
      <c r="D145" s="16"/>
      <c r="E145" s="16"/>
      <c r="F145" s="17">
        <v>101</v>
      </c>
      <c r="G145" s="17">
        <v>10</v>
      </c>
      <c r="H145" s="17">
        <v>1410</v>
      </c>
      <c r="I145" s="14" t="s">
        <v>292</v>
      </c>
      <c r="J145" s="14">
        <v>101206434</v>
      </c>
      <c r="K145" s="16">
        <v>206434</v>
      </c>
      <c r="L145" t="s">
        <v>121</v>
      </c>
    </row>
    <row r="146" spans="1:12">
      <c r="A146" s="14" t="s">
        <v>342</v>
      </c>
      <c r="B146" s="14" t="s">
        <v>356</v>
      </c>
      <c r="C146" s="16" t="s">
        <v>381</v>
      </c>
      <c r="D146" s="16"/>
      <c r="E146" s="16"/>
      <c r="F146" s="17">
        <v>101</v>
      </c>
      <c r="G146" s="17"/>
      <c r="H146" s="17"/>
      <c r="I146" s="14" t="s">
        <v>292</v>
      </c>
      <c r="J146" s="14">
        <v>101206432</v>
      </c>
      <c r="K146" s="16">
        <v>206432</v>
      </c>
      <c r="L146" t="s">
        <v>121</v>
      </c>
    </row>
    <row r="147" spans="1:12">
      <c r="A147" s="14" t="s">
        <v>342</v>
      </c>
      <c r="B147" s="14" t="s">
        <v>342</v>
      </c>
      <c r="C147" s="14" t="s">
        <v>347</v>
      </c>
      <c r="D147" s="14"/>
      <c r="E147" s="14"/>
      <c r="F147" s="17">
        <v>101</v>
      </c>
      <c r="G147" s="17"/>
      <c r="H147" s="17"/>
      <c r="I147" s="14" t="s">
        <v>292</v>
      </c>
      <c r="J147" s="14">
        <v>101206411</v>
      </c>
      <c r="K147" s="14">
        <v>206411</v>
      </c>
      <c r="L147" t="s">
        <v>121</v>
      </c>
    </row>
    <row r="148" spans="1:12">
      <c r="A148" s="14" t="s">
        <v>342</v>
      </c>
      <c r="B148" s="14" t="s">
        <v>342</v>
      </c>
      <c r="C148" s="14" t="s">
        <v>349</v>
      </c>
      <c r="D148" s="14"/>
      <c r="E148" s="14"/>
      <c r="F148" s="17">
        <v>101</v>
      </c>
      <c r="G148" s="17">
        <v>10</v>
      </c>
      <c r="H148" s="17">
        <v>1410</v>
      </c>
      <c r="I148" s="14" t="s">
        <v>292</v>
      </c>
      <c r="J148" s="14">
        <v>101206414</v>
      </c>
      <c r="K148" s="14">
        <v>206414</v>
      </c>
      <c r="L148" t="s">
        <v>121</v>
      </c>
    </row>
    <row r="149" spans="1:12">
      <c r="A149" s="14" t="s">
        <v>342</v>
      </c>
      <c r="B149" s="14" t="s">
        <v>342</v>
      </c>
      <c r="C149" s="14" t="s">
        <v>350</v>
      </c>
      <c r="D149" s="14"/>
      <c r="E149" s="14"/>
      <c r="F149" s="17">
        <v>101</v>
      </c>
      <c r="G149" s="17">
        <v>10</v>
      </c>
      <c r="H149" s="17">
        <v>1410</v>
      </c>
      <c r="I149" s="14" t="s">
        <v>292</v>
      </c>
      <c r="J149" s="14">
        <v>101206415</v>
      </c>
      <c r="K149" s="14">
        <v>206415</v>
      </c>
      <c r="L149" t="s">
        <v>121</v>
      </c>
    </row>
    <row r="150" spans="1:12">
      <c r="A150" s="14" t="s">
        <v>342</v>
      </c>
      <c r="B150" s="14" t="s">
        <v>342</v>
      </c>
      <c r="C150" s="14" t="s">
        <v>353</v>
      </c>
      <c r="D150" s="14"/>
      <c r="E150" s="14"/>
      <c r="F150" s="17">
        <v>101</v>
      </c>
      <c r="G150" s="17">
        <v>10</v>
      </c>
      <c r="H150" s="17">
        <v>1410</v>
      </c>
      <c r="I150" s="14" t="s">
        <v>292</v>
      </c>
      <c r="J150" s="14">
        <v>101206423</v>
      </c>
      <c r="K150" s="14">
        <v>206423</v>
      </c>
      <c r="L150" t="s">
        <v>121</v>
      </c>
    </row>
    <row r="151" spans="1:12">
      <c r="A151" s="14" t="s">
        <v>342</v>
      </c>
      <c r="B151" s="14" t="s">
        <v>342</v>
      </c>
      <c r="C151" s="14" t="s">
        <v>345</v>
      </c>
      <c r="D151" s="14" t="s">
        <v>346</v>
      </c>
      <c r="E151" s="14"/>
      <c r="F151" s="17">
        <v>101</v>
      </c>
      <c r="G151" s="17"/>
      <c r="H151" s="17"/>
      <c r="I151" s="14" t="s">
        <v>292</v>
      </c>
      <c r="J151" s="14">
        <v>101206410</v>
      </c>
      <c r="K151" s="14">
        <v>206410</v>
      </c>
      <c r="L151" t="s">
        <v>121</v>
      </c>
    </row>
    <row r="152" spans="1:12">
      <c r="A152" s="14" t="s">
        <v>342</v>
      </c>
      <c r="B152" s="14" t="s">
        <v>342</v>
      </c>
      <c r="C152" s="14" t="s">
        <v>343</v>
      </c>
      <c r="D152" s="14" t="s">
        <v>344</v>
      </c>
      <c r="E152" s="14"/>
      <c r="F152" s="17">
        <v>101</v>
      </c>
      <c r="G152" s="17">
        <v>10</v>
      </c>
      <c r="H152" s="17">
        <v>1410</v>
      </c>
      <c r="I152" s="14" t="s">
        <v>292</v>
      </c>
      <c r="J152" s="14">
        <v>101206409</v>
      </c>
      <c r="K152" s="14">
        <v>206409</v>
      </c>
      <c r="L152" t="s">
        <v>121</v>
      </c>
    </row>
    <row r="153" spans="1:12">
      <c r="A153" s="14" t="s">
        <v>342</v>
      </c>
      <c r="B153" s="14" t="s">
        <v>342</v>
      </c>
      <c r="C153" s="14" t="s">
        <v>354</v>
      </c>
      <c r="D153" s="14"/>
      <c r="E153" s="14"/>
      <c r="F153" s="17">
        <v>101</v>
      </c>
      <c r="G153" s="17">
        <v>10</v>
      </c>
      <c r="H153" s="17">
        <v>1410</v>
      </c>
      <c r="I153" s="14" t="s">
        <v>292</v>
      </c>
      <c r="J153" s="14">
        <v>101206425</v>
      </c>
      <c r="K153" s="14">
        <v>206425</v>
      </c>
      <c r="L153" t="s">
        <v>121</v>
      </c>
    </row>
    <row r="154" spans="1:12">
      <c r="A154" s="14" t="s">
        <v>342</v>
      </c>
      <c r="B154" s="14" t="s">
        <v>342</v>
      </c>
      <c r="C154" s="14" t="s">
        <v>35</v>
      </c>
      <c r="D154" s="14"/>
      <c r="E154" s="14"/>
      <c r="F154" s="17">
        <v>801</v>
      </c>
      <c r="G154" s="17">
        <v>10</v>
      </c>
      <c r="H154" s="17">
        <v>8</v>
      </c>
      <c r="I154" s="14" t="s">
        <v>292</v>
      </c>
      <c r="J154" s="14">
        <v>801000905</v>
      </c>
      <c r="K154" s="14">
        <v>101768</v>
      </c>
      <c r="L154" t="s">
        <v>121</v>
      </c>
    </row>
    <row r="155" spans="1:12">
      <c r="A155" s="14" t="s">
        <v>342</v>
      </c>
      <c r="B155" s="14" t="s">
        <v>342</v>
      </c>
      <c r="C155" s="14" t="s">
        <v>348</v>
      </c>
      <c r="D155" s="14"/>
      <c r="E155" s="14"/>
      <c r="F155" s="17">
        <v>101</v>
      </c>
      <c r="G155" s="17">
        <v>10</v>
      </c>
      <c r="H155" s="17">
        <v>1410</v>
      </c>
      <c r="I155" s="14" t="s">
        <v>292</v>
      </c>
      <c r="J155" s="14">
        <v>101206412</v>
      </c>
      <c r="K155" s="14">
        <v>206412</v>
      </c>
      <c r="L155" t="s">
        <v>121</v>
      </c>
    </row>
    <row r="156" spans="1:12">
      <c r="A156" s="14" t="s">
        <v>342</v>
      </c>
      <c r="B156" s="14" t="s">
        <v>342</v>
      </c>
      <c r="C156" s="14" t="s">
        <v>374</v>
      </c>
      <c r="D156" s="14"/>
      <c r="E156" s="14"/>
      <c r="F156" s="17">
        <v>1555</v>
      </c>
      <c r="G156" s="17"/>
      <c r="H156" s="17"/>
      <c r="I156" s="14"/>
      <c r="J156" s="14">
        <v>1555206424</v>
      </c>
      <c r="K156" s="14">
        <v>206424</v>
      </c>
      <c r="L156" t="s">
        <v>121</v>
      </c>
    </row>
    <row r="157" spans="1:12">
      <c r="A157" s="14" t="s">
        <v>342</v>
      </c>
      <c r="B157" s="14" t="s">
        <v>342</v>
      </c>
      <c r="C157" s="14" t="s">
        <v>37</v>
      </c>
      <c r="D157" s="14"/>
      <c r="E157" s="14"/>
      <c r="F157" s="17">
        <v>101</v>
      </c>
      <c r="G157" s="17">
        <v>10</v>
      </c>
      <c r="H157" s="17">
        <v>1309</v>
      </c>
      <c r="I157" s="14" t="s">
        <v>292</v>
      </c>
      <c r="J157" s="14">
        <v>101273757</v>
      </c>
      <c r="K157" s="14">
        <v>273757</v>
      </c>
      <c r="L157" t="s">
        <v>121</v>
      </c>
    </row>
    <row r="158" spans="1:12">
      <c r="A158" s="14" t="s">
        <v>342</v>
      </c>
      <c r="B158" s="14" t="s">
        <v>342</v>
      </c>
      <c r="C158" s="14" t="s">
        <v>37</v>
      </c>
      <c r="D158" s="14"/>
      <c r="E158" s="14"/>
      <c r="F158" s="17">
        <v>801</v>
      </c>
      <c r="G158" s="17">
        <v>10</v>
      </c>
      <c r="H158" s="17">
        <v>8</v>
      </c>
      <c r="I158" s="14" t="s">
        <v>292</v>
      </c>
      <c r="J158" s="14">
        <v>801174145</v>
      </c>
      <c r="K158" s="14">
        <v>174145</v>
      </c>
      <c r="L158" t="s">
        <v>121</v>
      </c>
    </row>
    <row r="159" spans="1:12">
      <c r="A159" s="14" t="s">
        <v>342</v>
      </c>
      <c r="B159" s="14" t="s">
        <v>342</v>
      </c>
      <c r="C159" s="14" t="s">
        <v>351</v>
      </c>
      <c r="D159" s="14" t="s">
        <v>352</v>
      </c>
      <c r="E159" s="14"/>
      <c r="F159" s="17">
        <v>101</v>
      </c>
      <c r="G159" s="17"/>
      <c r="H159" s="17"/>
      <c r="I159" s="14" t="s">
        <v>292</v>
      </c>
      <c r="J159" s="14">
        <v>101206416</v>
      </c>
      <c r="K159" s="14">
        <v>206416</v>
      </c>
      <c r="L159" t="s">
        <v>121</v>
      </c>
    </row>
    <row r="160" spans="1:12">
      <c r="A160" s="14" t="s">
        <v>342</v>
      </c>
      <c r="B160" s="14" t="s">
        <v>342</v>
      </c>
      <c r="C160" s="14" t="s">
        <v>373</v>
      </c>
      <c r="D160" s="14" t="s">
        <v>344</v>
      </c>
      <c r="E160" s="14"/>
      <c r="F160" s="17">
        <v>1551</v>
      </c>
      <c r="G160" s="17">
        <v>40</v>
      </c>
      <c r="H160" s="17">
        <v>1411</v>
      </c>
      <c r="I160" s="14"/>
      <c r="J160" s="14">
        <v>1551206420</v>
      </c>
      <c r="K160" s="14">
        <v>206420</v>
      </c>
      <c r="L160" t="s">
        <v>121</v>
      </c>
    </row>
    <row r="161" spans="1:12">
      <c r="A161" s="14" t="s">
        <v>342</v>
      </c>
      <c r="B161" s="14" t="s">
        <v>342</v>
      </c>
      <c r="C161" s="14" t="s">
        <v>355</v>
      </c>
      <c r="D161" s="14" t="s">
        <v>36</v>
      </c>
      <c r="E161" s="14"/>
      <c r="F161" s="17">
        <v>101</v>
      </c>
      <c r="G161" s="17">
        <v>10</v>
      </c>
      <c r="H161" s="17">
        <v>655</v>
      </c>
      <c r="I161" s="14" t="s">
        <v>292</v>
      </c>
      <c r="J161" s="14">
        <v>101273756</v>
      </c>
      <c r="K161" s="14">
        <v>273756</v>
      </c>
      <c r="L161" t="s">
        <v>121</v>
      </c>
    </row>
    <row r="162" spans="1:12">
      <c r="A162" s="14" t="s">
        <v>342</v>
      </c>
      <c r="B162" s="14" t="s">
        <v>342</v>
      </c>
      <c r="C162" s="14" t="s">
        <v>355</v>
      </c>
      <c r="D162" s="14" t="s">
        <v>36</v>
      </c>
      <c r="E162" s="14"/>
      <c r="F162" s="17">
        <v>801</v>
      </c>
      <c r="G162" s="17">
        <v>10</v>
      </c>
      <c r="H162" s="17">
        <v>8</v>
      </c>
      <c r="I162" s="14" t="s">
        <v>292</v>
      </c>
      <c r="J162" s="14">
        <v>801174146</v>
      </c>
      <c r="K162" s="14">
        <v>174146</v>
      </c>
      <c r="L162" t="s">
        <v>121</v>
      </c>
    </row>
    <row r="163" spans="1:12">
      <c r="A163" s="14" t="s">
        <v>342</v>
      </c>
      <c r="B163" s="14" t="s">
        <v>342</v>
      </c>
      <c r="C163" s="16" t="s">
        <v>385</v>
      </c>
      <c r="D163" s="16"/>
      <c r="E163" s="16"/>
      <c r="F163" s="17">
        <v>101</v>
      </c>
      <c r="G163" s="17">
        <v>10</v>
      </c>
      <c r="H163" s="17">
        <v>1410</v>
      </c>
      <c r="I163" s="14" t="s">
        <v>292</v>
      </c>
      <c r="J163" s="14">
        <v>101206436</v>
      </c>
      <c r="K163" s="16">
        <v>206436</v>
      </c>
      <c r="L163" t="s">
        <v>121</v>
      </c>
    </row>
    <row r="164" spans="1:12">
      <c r="A164" s="14" t="s">
        <v>342</v>
      </c>
      <c r="B164" s="14" t="s">
        <v>365</v>
      </c>
      <c r="C164" s="14" t="s">
        <v>368</v>
      </c>
      <c r="D164" s="14"/>
      <c r="E164" s="14"/>
      <c r="F164" s="17">
        <v>801</v>
      </c>
      <c r="G164" s="17">
        <v>10</v>
      </c>
      <c r="H164" s="17">
        <v>8</v>
      </c>
      <c r="I164" s="14" t="s">
        <v>292</v>
      </c>
      <c r="J164" s="14">
        <v>801029664</v>
      </c>
      <c r="K164" s="14">
        <v>102206</v>
      </c>
      <c r="L164" t="s">
        <v>121</v>
      </c>
    </row>
    <row r="165" spans="1:12">
      <c r="A165" s="14" t="s">
        <v>342</v>
      </c>
      <c r="B165" s="14" t="s">
        <v>365</v>
      </c>
      <c r="C165" s="14" t="s">
        <v>372</v>
      </c>
      <c r="D165" s="14"/>
      <c r="E165" s="14"/>
      <c r="F165" s="17">
        <v>801</v>
      </c>
      <c r="G165" s="17">
        <v>10</v>
      </c>
      <c r="H165" s="17">
        <v>8</v>
      </c>
      <c r="I165" s="14" t="s">
        <v>292</v>
      </c>
      <c r="J165" s="14">
        <v>801206427</v>
      </c>
      <c r="K165" s="14">
        <v>206427</v>
      </c>
      <c r="L165" t="s">
        <v>121</v>
      </c>
    </row>
    <row r="166" spans="1:12">
      <c r="A166" s="14" t="s">
        <v>342</v>
      </c>
      <c r="B166" s="14" t="s">
        <v>365</v>
      </c>
      <c r="C166" s="14" t="s">
        <v>370</v>
      </c>
      <c r="D166" s="14"/>
      <c r="E166" s="14"/>
      <c r="F166" s="17">
        <v>801</v>
      </c>
      <c r="G166" s="17">
        <v>10</v>
      </c>
      <c r="H166" s="17">
        <v>8</v>
      </c>
      <c r="I166" s="14" t="s">
        <v>292</v>
      </c>
      <c r="J166" s="14">
        <v>801030076</v>
      </c>
      <c r="K166" s="14">
        <v>102305</v>
      </c>
      <c r="L166" t="s">
        <v>121</v>
      </c>
    </row>
    <row r="167" spans="1:12">
      <c r="A167" s="14" t="s">
        <v>342</v>
      </c>
      <c r="B167" s="14" t="s">
        <v>365</v>
      </c>
      <c r="C167" s="14" t="s">
        <v>33</v>
      </c>
      <c r="D167" s="14"/>
      <c r="E167" s="14"/>
      <c r="F167" s="17">
        <v>801</v>
      </c>
      <c r="G167" s="17">
        <v>10</v>
      </c>
      <c r="H167" s="17">
        <v>8</v>
      </c>
      <c r="I167" s="14" t="s">
        <v>292</v>
      </c>
      <c r="J167" s="14">
        <v>801029370</v>
      </c>
      <c r="K167" s="14">
        <v>102054</v>
      </c>
      <c r="L167" t="s">
        <v>121</v>
      </c>
    </row>
    <row r="168" spans="1:12">
      <c r="A168" s="14" t="s">
        <v>342</v>
      </c>
      <c r="B168" s="14" t="s">
        <v>365</v>
      </c>
      <c r="C168" s="14" t="s">
        <v>369</v>
      </c>
      <c r="D168" s="14"/>
      <c r="E168" s="14"/>
      <c r="F168" s="17">
        <v>801</v>
      </c>
      <c r="G168" s="17">
        <v>10</v>
      </c>
      <c r="H168" s="17">
        <v>8</v>
      </c>
      <c r="I168" s="14" t="s">
        <v>292</v>
      </c>
      <c r="J168" s="14">
        <v>801030074</v>
      </c>
      <c r="K168" s="14">
        <v>102304</v>
      </c>
      <c r="L168" t="s">
        <v>121</v>
      </c>
    </row>
    <row r="169" spans="1:12">
      <c r="A169" s="14" t="s">
        <v>342</v>
      </c>
      <c r="B169" s="14" t="s">
        <v>342</v>
      </c>
      <c r="C169" s="14" t="s">
        <v>386</v>
      </c>
      <c r="D169" s="14" t="s">
        <v>361</v>
      </c>
      <c r="E169" s="14"/>
      <c r="F169" s="17">
        <v>1184</v>
      </c>
      <c r="G169" s="17">
        <v>746</v>
      </c>
      <c r="H169" s="17"/>
      <c r="I169" s="14" t="s">
        <v>292</v>
      </c>
      <c r="J169" s="14"/>
      <c r="K169" s="14"/>
      <c r="L169" t="s">
        <v>139</v>
      </c>
    </row>
  </sheetData>
  <sortState xmlns:xlrd2="http://schemas.microsoft.com/office/spreadsheetml/2017/richdata2" ref="A2:K169">
    <sortCondition ref="A2:A169"/>
    <sortCondition ref="B2:B169"/>
    <sortCondition ref="C2:C169"/>
    <sortCondition ref="J2:J169"/>
    <sortCondition ref="K2:K169"/>
  </sortState>
  <pageMargins left="0.70866141732283472" right="0.70866141732283472" top="0.74803149606299213" bottom="0.74803149606299213" header="0.31496062992125984" footer="0.31496062992125984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896929-9f72-4d53-bb83-9216b1e554c1">
      <Terms xmlns="http://schemas.microsoft.com/office/infopath/2007/PartnerControls"/>
    </lcf76f155ced4ddcb4097134ff3c332f>
    <SharedWithUsers xmlns="263f1ac8-2332-4b15-af4c-ee7033f152b3">
      <UserInfo>
        <DisplayName>Cherng, Ellen @ Taipei</DisplayName>
        <AccountId>73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3EC82D7F31454DB6899A7E24212B6E" ma:contentTypeVersion="12" ma:contentTypeDescription="Create a new document." ma:contentTypeScope="" ma:versionID="7f1e6e375e94330c93c26b121f4fccc7">
  <xsd:schema xmlns:xsd="http://www.w3.org/2001/XMLSchema" xmlns:xs="http://www.w3.org/2001/XMLSchema" xmlns:p="http://schemas.microsoft.com/office/2006/metadata/properties" xmlns:ns2="fd896929-9f72-4d53-bb83-9216b1e554c1" xmlns:ns3="263f1ac8-2332-4b15-af4c-ee7033f152b3" targetNamespace="http://schemas.microsoft.com/office/2006/metadata/properties" ma:root="true" ma:fieldsID="4b9dac1ba05a4beca6d0bc0d8f30bc92" ns2:_="" ns3:_="">
    <xsd:import namespace="fd896929-9f72-4d53-bb83-9216b1e554c1"/>
    <xsd:import namespace="263f1ac8-2332-4b15-af4c-ee7033f152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896929-9f72-4d53-bb83-9216b1e55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9d3f478-4f1e-489e-aec6-b8552e7cfc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3f1ac8-2332-4b15-af4c-ee7033f152b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DD6B87-612E-4EA3-9FE9-C74D48D96CE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450861-DA28-471A-B99C-AB4CBC4B6E8A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263f1ac8-2332-4b15-af4c-ee7033f152b3"/>
    <ds:schemaRef ds:uri="fd896929-9f72-4d53-bb83-9216b1e554c1"/>
    <ds:schemaRef ds:uri="http://purl.org/dc/elements/1.1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F897CF1-DC55-4851-9A34-CCCB0F2D90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896929-9f72-4d53-bb83-9216b1e554c1"/>
    <ds:schemaRef ds:uri="263f1ac8-2332-4b15-af4c-ee7033f152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  <clbl:label id="{0702bf62-88e6-456d-b298-e2abb13de1ea}" enabled="1" method="Standard" siteId="{548d26ab-8caa-49e1-97c2-a1b1a06cc39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PO CREATION FORM</vt:lpstr>
      <vt:lpstr>GRW GL ACCOUNT LIST</vt:lpstr>
      <vt:lpstr>PLANT CODES</vt:lpstr>
      <vt:lpstr>GRW COSTCENTERS</vt:lpstr>
      <vt:lpstr>'GRW COSTCENTERS'!Print_Titles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HFO Desktop</dc:creator>
  <cp:keywords/>
  <dc:description/>
  <cp:lastModifiedBy>Purushoth Mari</cp:lastModifiedBy>
  <cp:revision/>
  <dcterms:created xsi:type="dcterms:W3CDTF">2020-03-21T12:37:41Z</dcterms:created>
  <dcterms:modified xsi:type="dcterms:W3CDTF">2026-10-12T08:19:42Z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0x010100023EC82D7F31454DB6899A7E24212B6E</vt:lpwstr>
  </property>
  <property fmtid="{D5CDD505-2E9C-101B-9397-08002B2CF9AE}" pid="3" name="MediaServiceImageTags">
    <vt:lpwstr/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SV_HIDDEN_GRID_QUERY_LIST_4F35BF76-6C0D-4D9B-82B2-816C12CF3733">
    <vt:lpwstr>empty_477D106A-C0D6-4607-AEBD-E2C9D60EA279</vt:lpwstr>
  </property>
</Properties>
</file>